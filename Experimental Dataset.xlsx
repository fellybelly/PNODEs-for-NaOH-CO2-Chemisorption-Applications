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400_FELICIA\Downloads\"/>
    </mc:Choice>
  </mc:AlternateContent>
  <xr:revisionPtr revIDLastSave="0" documentId="8_{E056CDFD-874B-41AB-89E4-966194ED6C4C}" xr6:coauthVersionLast="47" xr6:coauthVersionMax="47" xr10:uidLastSave="{00000000-0000-0000-0000-000000000000}"/>
  <bookViews>
    <workbookView xWindow="-110" yWindow="-110" windowWidth="19420" windowHeight="11500" xr2:uid="{B37455F3-CD9B-4B88-B0DA-42EA2FFFA72B}"/>
  </bookViews>
  <sheets>
    <sheet name="NaOH Liquid Outlet" sheetId="5" r:id="rId1"/>
    <sheet name="CO2 Gas Outlet" sheetId="4" r:id="rId2"/>
    <sheet name="NaOH Liquid Inlet" sheetId="3" r:id="rId3"/>
    <sheet name="CO2 Gas Inle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</calcChain>
</file>

<file path=xl/sharedStrings.xml><?xml version="1.0" encoding="utf-8"?>
<sst xmlns="http://schemas.openxmlformats.org/spreadsheetml/2006/main" count="116" uniqueCount="50">
  <si>
    <t>Water</t>
  </si>
  <si>
    <t>NaOH</t>
  </si>
  <si>
    <t>CO2</t>
  </si>
  <si>
    <t>Air</t>
  </si>
  <si>
    <t>CO2(1)</t>
  </si>
  <si>
    <t>CO2(2)</t>
  </si>
  <si>
    <t>Average (CO2) yA1</t>
  </si>
  <si>
    <t>YA1</t>
  </si>
  <si>
    <t>0 (AVG) yA4</t>
  </si>
  <si>
    <t>3 (AVG) yA4</t>
  </si>
  <si>
    <t>6 (AVG)</t>
  </si>
  <si>
    <t>9 (AVG)</t>
  </si>
  <si>
    <t>12 (AVG)</t>
  </si>
  <si>
    <t>0 YA4</t>
  </si>
  <si>
    <t>4 YA4</t>
  </si>
  <si>
    <t>8 YA4</t>
  </si>
  <si>
    <t>12 YA4</t>
  </si>
  <si>
    <t>16 YA4</t>
  </si>
  <si>
    <t>CO2 % (1)</t>
  </si>
  <si>
    <t>CO2 % (2)</t>
  </si>
  <si>
    <t>CO2 % (3)</t>
  </si>
  <si>
    <t>xB4</t>
  </si>
  <si>
    <t>XB4</t>
  </si>
  <si>
    <t>Phenolphthalein Indicator</t>
  </si>
  <si>
    <t xml:space="preserve">0 (AVG) </t>
  </si>
  <si>
    <t>4 (AVG)</t>
  </si>
  <si>
    <t>8 (AVG)</t>
  </si>
  <si>
    <t>16 (AVG)</t>
  </si>
  <si>
    <t>HCL cm3 (1)</t>
  </si>
  <si>
    <t>HCL cm3 (2)</t>
  </si>
  <si>
    <t>HCL cm3 (3)</t>
  </si>
  <si>
    <t>Methyl Orange</t>
  </si>
  <si>
    <t xml:space="preserve"> </t>
  </si>
  <si>
    <t>Calculations</t>
  </si>
  <si>
    <t>Amount of NaOH left (0)</t>
  </si>
  <si>
    <t>Amount of NaOH left (4)</t>
  </si>
  <si>
    <t>Amount of NaOH left (8)</t>
  </si>
  <si>
    <t>Amount of NaOH left (12)</t>
  </si>
  <si>
    <t>Amount of NaOH left (16)</t>
  </si>
  <si>
    <t>NaOH Concentration outlet</t>
  </si>
  <si>
    <t>0, xB1</t>
  </si>
  <si>
    <t>4, xB1</t>
  </si>
  <si>
    <t>8, xB1</t>
  </si>
  <si>
    <t>12, xB1</t>
  </si>
  <si>
    <t>16, xB1</t>
  </si>
  <si>
    <t>0, XB1</t>
  </si>
  <si>
    <t>4, XB1</t>
  </si>
  <si>
    <t>8, XB1</t>
  </si>
  <si>
    <t>12, XB1</t>
  </si>
  <si>
    <t>16, XB1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</si>
</sst>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20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7964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1" fillId="0" borderId="0" xfId="0" applyFont="1" applyAlignment="1">
      <alignment horizontal="center" vertical="top"/>
    </xf>
    <xf numFmtId="0" fontId="5" fillId="0" borderId="0" xfId="0" applyFont="1"/>
    <xf numFmtId="0" fontId="4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4" fillId="0" borderId="9" xfId="0" applyFont="1" applyBorder="1"/>
    <xf numFmtId="0" fontId="4" fillId="0" borderId="8" xfId="0" applyFont="1" applyBorder="1"/>
    <xf numFmtId="0" fontId="5" fillId="0" borderId="0" xfId="0" applyFont="1" applyAlignment="1">
      <alignment horizontal="center"/>
    </xf>
    <xf numFmtId="0" fontId="3" fillId="0" borderId="0" xfId="0" applyFont="1"/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4" fillId="0" borderId="12" xfId="0" applyFont="1" applyBorder="1"/>
    <xf numFmtId="0" fontId="3" fillId="0" borderId="2" xfId="0" applyFont="1" applyBorder="1" applyAlignment="1">
      <alignment horizontal="center" vertical="top"/>
    </xf>
    <xf numFmtId="11" fontId="5" fillId="0" borderId="0" xfId="0" applyNumberFormat="1" applyFont="1"/>
    <xf numFmtId="0" fontId="6" fillId="3" borderId="0" xfId="0" applyFont="1" applyFill="1"/>
    <xf numFmtId="0" fontId="4" fillId="3" borderId="0" xfId="0" applyFont="1" applyFill="1"/>
    <xf numFmtId="0" fontId="6" fillId="4" borderId="0" xfId="0" applyFont="1" applyFill="1"/>
    <xf numFmtId="0" fontId="4" fillId="4" borderId="0" xfId="0" applyFont="1" applyFill="1"/>
    <xf numFmtId="11" fontId="4" fillId="0" borderId="0" xfId="0" applyNumberFormat="1" applyFont="1"/>
    <xf numFmtId="0" fontId="6" fillId="2" borderId="0" xfId="0" applyFont="1" applyFill="1"/>
    <xf numFmtId="0" fontId="1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7" fillId="0" borderId="0" xfId="0" applyFont="1"/>
    <xf numFmtId="11" fontId="7" fillId="0" borderId="0" xfId="0" applyNumberFormat="1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B088-13E7-4437-B3A1-66502CF5019B}">
  <dimension ref="A1:Y106"/>
  <sheetViews>
    <sheetView tabSelected="1" zoomScale="63" workbookViewId="0">
      <selection activeCell="Y76" sqref="Y76"/>
    </sheetView>
  </sheetViews>
  <sheetFormatPr defaultRowHeight="14.5" x14ac:dyDescent="0.35"/>
  <cols>
    <col min="1" max="4" width="9" bestFit="1" customWidth="1"/>
    <col min="5" max="5" width="12.6328125" bestFit="1" customWidth="1"/>
    <col min="6" max="7" width="11.81640625" bestFit="1" customWidth="1"/>
    <col min="8" max="8" width="12.6328125" bestFit="1" customWidth="1"/>
    <col min="9" max="9" width="11.81640625" bestFit="1" customWidth="1"/>
    <col min="10" max="10" width="10.08984375" bestFit="1" customWidth="1"/>
    <col min="11" max="11" width="8.90625" bestFit="1" customWidth="1"/>
    <col min="12" max="16" width="11.81640625" bestFit="1" customWidth="1"/>
    <col min="17" max="17" width="8.81640625" bestFit="1" customWidth="1"/>
    <col min="18" max="18" width="11.81640625" bestFit="1" customWidth="1"/>
    <col min="19" max="19" width="10.7265625" bestFit="1" customWidth="1"/>
    <col min="20" max="20" width="10" bestFit="1" customWidth="1"/>
    <col min="21" max="21" width="10.6328125" bestFit="1" customWidth="1"/>
    <col min="22" max="22" width="9.36328125" bestFit="1" customWidth="1"/>
    <col min="23" max="24" width="8.81640625" bestFit="1" customWidth="1"/>
  </cols>
  <sheetData>
    <row r="1" spans="1:25" ht="26" x14ac:dyDescent="0.6">
      <c r="A1" s="22" t="s">
        <v>23</v>
      </c>
      <c r="B1" s="23"/>
      <c r="C1" s="23"/>
      <c r="D1" s="23"/>
      <c r="E1" s="2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A2" s="1" t="s">
        <v>0</v>
      </c>
      <c r="B2" s="1" t="s">
        <v>1</v>
      </c>
      <c r="C2" s="1" t="s">
        <v>2</v>
      </c>
      <c r="D2" s="2" t="s">
        <v>3</v>
      </c>
      <c r="E2" s="33">
        <v>0</v>
      </c>
      <c r="F2" s="32"/>
      <c r="G2" s="32"/>
      <c r="H2" s="32" t="s">
        <v>24</v>
      </c>
      <c r="I2" s="32">
        <v>4</v>
      </c>
      <c r="J2" s="32"/>
      <c r="K2" s="32"/>
      <c r="L2" s="32" t="s">
        <v>25</v>
      </c>
      <c r="M2" s="32">
        <v>8</v>
      </c>
      <c r="N2" s="32"/>
      <c r="O2" s="32"/>
      <c r="P2" s="32" t="s">
        <v>26</v>
      </c>
      <c r="Q2" s="32">
        <v>12</v>
      </c>
      <c r="R2" s="32"/>
      <c r="S2" s="32"/>
      <c r="T2" s="32" t="s">
        <v>12</v>
      </c>
      <c r="U2" s="32">
        <v>16</v>
      </c>
      <c r="V2" s="32"/>
      <c r="W2" s="32"/>
      <c r="X2" s="32" t="s">
        <v>27</v>
      </c>
      <c r="Y2" s="3"/>
    </row>
    <row r="3" spans="1:25" x14ac:dyDescent="0.35">
      <c r="A3" s="4"/>
      <c r="B3" s="4"/>
      <c r="C3" s="4"/>
      <c r="D3" s="4"/>
      <c r="E3" s="7" t="s">
        <v>28</v>
      </c>
      <c r="F3" s="7" t="s">
        <v>29</v>
      </c>
      <c r="G3" s="7" t="s">
        <v>30</v>
      </c>
      <c r="H3" s="32"/>
      <c r="I3" s="7" t="s">
        <v>28</v>
      </c>
      <c r="J3" s="7" t="s">
        <v>29</v>
      </c>
      <c r="K3" s="7" t="s">
        <v>30</v>
      </c>
      <c r="L3" s="32"/>
      <c r="M3" s="7" t="s">
        <v>28</v>
      </c>
      <c r="N3" s="7" t="s">
        <v>29</v>
      </c>
      <c r="O3" s="7" t="s">
        <v>30</v>
      </c>
      <c r="P3" s="32"/>
      <c r="Q3" s="7" t="s">
        <v>28</v>
      </c>
      <c r="R3" s="7" t="s">
        <v>29</v>
      </c>
      <c r="S3" s="7" t="s">
        <v>30</v>
      </c>
      <c r="T3" s="32"/>
      <c r="U3" s="7" t="s">
        <v>28</v>
      </c>
      <c r="V3" s="7" t="s">
        <v>29</v>
      </c>
      <c r="W3" s="7" t="s">
        <v>30</v>
      </c>
      <c r="X3" s="32"/>
      <c r="Y3" s="3"/>
    </row>
    <row r="4" spans="1:25" x14ac:dyDescent="0.35">
      <c r="A4" s="3">
        <v>0.6</v>
      </c>
      <c r="B4" s="3">
        <v>0.1</v>
      </c>
      <c r="C4" s="3">
        <v>0.18</v>
      </c>
      <c r="D4" s="3">
        <v>2.02</v>
      </c>
      <c r="E4" s="3">
        <v>4.8</v>
      </c>
      <c r="F4" s="3">
        <v>4.9000000000000004</v>
      </c>
      <c r="G4" s="3">
        <v>5</v>
      </c>
      <c r="H4" s="3">
        <v>4.8999999999999998E-4</v>
      </c>
      <c r="I4" s="3">
        <v>8.1999999999999993</v>
      </c>
      <c r="J4" s="3">
        <v>8.1</v>
      </c>
      <c r="K4" s="3">
        <v>8.3000000000000007</v>
      </c>
      <c r="L4" s="3">
        <v>8.1999999999999998E-4</v>
      </c>
      <c r="M4" s="3">
        <v>8.1</v>
      </c>
      <c r="N4" s="3">
        <v>8.1</v>
      </c>
      <c r="O4" s="3">
        <v>8.1999999999999993</v>
      </c>
      <c r="P4" s="3">
        <v>8.1333299999999996E-4</v>
      </c>
      <c r="Q4" s="3">
        <v>7.9</v>
      </c>
      <c r="R4" s="3">
        <v>8.1999999999999993</v>
      </c>
      <c r="S4" s="3">
        <v>8.1</v>
      </c>
      <c r="T4" s="3">
        <v>8.0666699999999995E-4</v>
      </c>
      <c r="U4" s="3">
        <v>8.1</v>
      </c>
      <c r="V4" s="3">
        <v>8.1</v>
      </c>
      <c r="W4" s="3">
        <v>8.3000000000000007</v>
      </c>
      <c r="X4" s="3">
        <v>8.1666699999999998E-4</v>
      </c>
      <c r="Y4" s="3"/>
    </row>
    <row r="5" spans="1:25" x14ac:dyDescent="0.35">
      <c r="A5" s="3">
        <v>0.62</v>
      </c>
      <c r="B5" s="3">
        <v>0.08</v>
      </c>
      <c r="C5" s="3">
        <v>0.3</v>
      </c>
      <c r="D5" s="3">
        <v>1.9</v>
      </c>
      <c r="E5" s="3">
        <v>8.1</v>
      </c>
      <c r="F5" s="3">
        <v>8.1</v>
      </c>
      <c r="G5" s="3">
        <v>8.3000000000000007</v>
      </c>
      <c r="H5" s="3">
        <v>8.1700000000000002E-4</v>
      </c>
      <c r="I5" s="3">
        <v>7</v>
      </c>
      <c r="J5" s="3">
        <v>7</v>
      </c>
      <c r="K5" s="3">
        <v>7.1</v>
      </c>
      <c r="L5" s="3">
        <v>7.03333E-4</v>
      </c>
      <c r="M5" s="3">
        <v>7</v>
      </c>
      <c r="N5" s="3">
        <v>7.1</v>
      </c>
      <c r="O5" s="3">
        <v>6.9</v>
      </c>
      <c r="P5" s="3">
        <v>6.9999999999999999E-4</v>
      </c>
      <c r="Q5" s="3">
        <v>7.1</v>
      </c>
      <c r="R5" s="3">
        <v>7.1</v>
      </c>
      <c r="S5" s="3">
        <v>6.9</v>
      </c>
      <c r="T5" s="3">
        <v>7.03333E-4</v>
      </c>
      <c r="U5" s="3">
        <v>7.5</v>
      </c>
      <c r="V5" s="3">
        <v>7.1</v>
      </c>
      <c r="W5" s="3">
        <v>7.3</v>
      </c>
      <c r="X5" s="3">
        <v>7.2999999999999996E-4</v>
      </c>
      <c r="Y5" s="3"/>
    </row>
    <row r="6" spans="1:25" x14ac:dyDescent="0.35">
      <c r="A6" s="3">
        <v>0.53</v>
      </c>
      <c r="B6" s="3">
        <v>0.17</v>
      </c>
      <c r="C6" s="3">
        <v>0.28000000000000003</v>
      </c>
      <c r="D6" s="3">
        <v>1.92</v>
      </c>
      <c r="E6" s="3">
        <v>7.8</v>
      </c>
      <c r="F6" s="3">
        <v>7.7</v>
      </c>
      <c r="G6" s="3">
        <v>7.4</v>
      </c>
      <c r="H6" s="3">
        <v>7.6300000000000001E-4</v>
      </c>
      <c r="I6" s="3">
        <v>9.9</v>
      </c>
      <c r="J6" s="3">
        <v>9.8000000000000007</v>
      </c>
      <c r="K6" s="3">
        <v>10</v>
      </c>
      <c r="L6" s="3">
        <v>9.8999999999999999E-4</v>
      </c>
      <c r="M6" s="3">
        <v>9.6999999999999993</v>
      </c>
      <c r="N6" s="3">
        <v>9.6999999999999993</v>
      </c>
      <c r="O6" s="3">
        <v>9.9</v>
      </c>
      <c r="P6" s="3">
        <v>9.7666700000000007E-4</v>
      </c>
      <c r="Q6" s="3">
        <v>9.9</v>
      </c>
      <c r="R6" s="3">
        <v>9.9</v>
      </c>
      <c r="S6" s="3">
        <v>9.8000000000000007</v>
      </c>
      <c r="T6" s="3">
        <v>9.866670000000001E-4</v>
      </c>
      <c r="U6" s="3">
        <v>9.6999999999999993</v>
      </c>
      <c r="V6" s="3">
        <v>9.9</v>
      </c>
      <c r="W6" s="3">
        <v>10.1</v>
      </c>
      <c r="X6" s="3">
        <v>9.8999999999999999E-4</v>
      </c>
      <c r="Y6" s="3"/>
    </row>
    <row r="7" spans="1:25" x14ac:dyDescent="0.35">
      <c r="A7" s="3">
        <v>0.63</v>
      </c>
      <c r="B7" s="3">
        <v>7.0000000000000007E-2</v>
      </c>
      <c r="C7" s="3">
        <v>0.11</v>
      </c>
      <c r="D7" s="3">
        <v>2.09</v>
      </c>
      <c r="E7" s="3">
        <v>10</v>
      </c>
      <c r="F7" s="3">
        <v>10</v>
      </c>
      <c r="G7" s="3">
        <v>10.1</v>
      </c>
      <c r="H7" s="3">
        <v>1.003E-3</v>
      </c>
      <c r="I7" s="3">
        <v>7.5</v>
      </c>
      <c r="J7" s="3">
        <v>7.8</v>
      </c>
      <c r="K7" s="3">
        <v>7.4</v>
      </c>
      <c r="L7" s="3">
        <v>7.5666700000000004E-4</v>
      </c>
      <c r="M7" s="3">
        <v>7.6</v>
      </c>
      <c r="N7" s="3">
        <v>7.8</v>
      </c>
      <c r="O7" s="3">
        <v>7.6</v>
      </c>
      <c r="P7" s="3">
        <v>7.6666699999999996E-4</v>
      </c>
      <c r="Q7" s="3">
        <v>7.5</v>
      </c>
      <c r="R7" s="3">
        <v>7.6</v>
      </c>
      <c r="S7" s="3">
        <v>7.6</v>
      </c>
      <c r="T7" s="3">
        <v>7.5666700000000004E-4</v>
      </c>
      <c r="U7" s="3">
        <v>7.6</v>
      </c>
      <c r="V7" s="3">
        <v>7.5</v>
      </c>
      <c r="W7" s="3">
        <v>7.5</v>
      </c>
      <c r="X7" s="3">
        <v>7.5333300000000002E-4</v>
      </c>
      <c r="Y7" s="3"/>
    </row>
    <row r="8" spans="1:25" x14ac:dyDescent="0.35">
      <c r="A8" s="3">
        <v>0.57999999999999996</v>
      </c>
      <c r="B8" s="3">
        <v>0.12</v>
      </c>
      <c r="C8" s="3">
        <v>0.24</v>
      </c>
      <c r="D8" s="3">
        <v>1.96</v>
      </c>
      <c r="E8" s="3">
        <v>7.7</v>
      </c>
      <c r="F8" s="3">
        <v>7.9</v>
      </c>
      <c r="G8" s="3">
        <v>7.7</v>
      </c>
      <c r="H8" s="3">
        <v>7.7700000000000002E-4</v>
      </c>
      <c r="I8" s="3">
        <v>8</v>
      </c>
      <c r="J8" s="3">
        <v>8.3000000000000007</v>
      </c>
      <c r="K8" s="3">
        <v>8.4</v>
      </c>
      <c r="L8" s="3">
        <v>8.2333299999999999E-4</v>
      </c>
      <c r="M8" s="3">
        <v>8.4</v>
      </c>
      <c r="N8" s="3">
        <v>8.3000000000000007</v>
      </c>
      <c r="O8" s="3">
        <v>8.3000000000000007</v>
      </c>
      <c r="P8" s="3">
        <v>8.3333300000000001E-4</v>
      </c>
      <c r="Q8" s="3">
        <v>8.3000000000000007</v>
      </c>
      <c r="R8" s="3">
        <v>8.4</v>
      </c>
      <c r="S8" s="3">
        <v>8.1999999999999993</v>
      </c>
      <c r="T8" s="3">
        <v>8.3000000000000001E-4</v>
      </c>
      <c r="U8" s="3">
        <v>8.6</v>
      </c>
      <c r="V8" s="3">
        <v>8.6999999999999993</v>
      </c>
      <c r="W8" s="3">
        <v>8.3000000000000007</v>
      </c>
      <c r="X8" s="3">
        <v>8.5333299999999996E-4</v>
      </c>
      <c r="Y8" s="3"/>
    </row>
    <row r="9" spans="1:25" x14ac:dyDescent="0.35">
      <c r="A9" s="3">
        <v>0.51</v>
      </c>
      <c r="B9" s="3">
        <v>0.19</v>
      </c>
      <c r="C9" s="3">
        <v>0.12</v>
      </c>
      <c r="D9" s="3">
        <v>2.08</v>
      </c>
      <c r="E9" s="3">
        <v>7.8</v>
      </c>
      <c r="F9" s="3">
        <v>7.9</v>
      </c>
      <c r="G9" s="3">
        <v>8</v>
      </c>
      <c r="H9" s="3">
        <v>7.9000000000000001E-4</v>
      </c>
      <c r="I9" s="3">
        <v>11.2</v>
      </c>
      <c r="J9" s="3">
        <v>11.4</v>
      </c>
      <c r="K9" s="3">
        <v>11.5</v>
      </c>
      <c r="L9" s="3">
        <v>1.1366670000000001E-3</v>
      </c>
      <c r="M9" s="3">
        <v>11.5</v>
      </c>
      <c r="N9" s="3">
        <v>11.3</v>
      </c>
      <c r="O9" s="3">
        <v>11.4</v>
      </c>
      <c r="P9" s="3">
        <v>1.14E-3</v>
      </c>
      <c r="Q9" s="3">
        <v>11.4</v>
      </c>
      <c r="R9" s="3">
        <v>11.4</v>
      </c>
      <c r="S9" s="3">
        <v>11.3</v>
      </c>
      <c r="T9" s="3">
        <v>1.1366670000000001E-3</v>
      </c>
      <c r="U9" s="3"/>
      <c r="V9" s="3"/>
      <c r="W9" s="3"/>
      <c r="X9" s="3" t="e">
        <v>#DIV/0!</v>
      </c>
      <c r="Y9" s="3"/>
    </row>
    <row r="10" spans="1:25" x14ac:dyDescent="0.35">
      <c r="A10" s="3"/>
      <c r="B10" s="3"/>
      <c r="C10" s="3"/>
      <c r="D10" s="3"/>
      <c r="E10" s="3">
        <v>9.1999999999999993</v>
      </c>
      <c r="F10" s="3">
        <v>8.9</v>
      </c>
      <c r="G10" s="3">
        <v>9.1</v>
      </c>
      <c r="H10" s="3">
        <v>9.0700000000000004E-4</v>
      </c>
      <c r="I10" s="3">
        <v>11.7</v>
      </c>
      <c r="J10" s="3">
        <v>11.7</v>
      </c>
      <c r="K10" s="3">
        <v>11.9</v>
      </c>
      <c r="L10" s="3">
        <v>1.1766669999999999E-3</v>
      </c>
      <c r="M10" s="3">
        <v>11.9</v>
      </c>
      <c r="N10" s="3">
        <v>11.9</v>
      </c>
      <c r="O10" s="3">
        <v>11.8</v>
      </c>
      <c r="P10" s="3">
        <v>1.186667E-3</v>
      </c>
      <c r="Q10" s="3">
        <v>11.9</v>
      </c>
      <c r="R10" s="3">
        <v>11.5</v>
      </c>
      <c r="S10" s="3">
        <v>11.7</v>
      </c>
      <c r="T10" s="3">
        <v>1.17E-3</v>
      </c>
      <c r="U10" s="3">
        <v>11.2</v>
      </c>
      <c r="V10" s="3">
        <v>11.7</v>
      </c>
      <c r="W10" s="3">
        <v>11.5</v>
      </c>
      <c r="X10" s="3">
        <v>1.1466670000000001E-3</v>
      </c>
      <c r="Y10" s="3"/>
    </row>
    <row r="11" spans="1:25" x14ac:dyDescent="0.35">
      <c r="A11" s="3">
        <v>0.55000000000000004</v>
      </c>
      <c r="B11" s="3">
        <v>0.15</v>
      </c>
      <c r="C11" s="3">
        <v>0.17</v>
      </c>
      <c r="D11" s="3">
        <v>2.0299999999999998</v>
      </c>
      <c r="E11" s="3">
        <v>11.9</v>
      </c>
      <c r="F11" s="3">
        <v>11.9</v>
      </c>
      <c r="G11" s="3">
        <v>11.9</v>
      </c>
      <c r="H11" s="3">
        <v>1.1900000000000001E-3</v>
      </c>
      <c r="I11" s="3">
        <v>10</v>
      </c>
      <c r="J11" s="3">
        <v>10</v>
      </c>
      <c r="K11" s="3">
        <v>10.1</v>
      </c>
      <c r="L11" s="3">
        <v>1.0033329999999999E-3</v>
      </c>
      <c r="M11" s="3">
        <v>10</v>
      </c>
      <c r="N11" s="3">
        <v>10.1</v>
      </c>
      <c r="O11" s="3">
        <v>10.199999999999999</v>
      </c>
      <c r="P11" s="3">
        <v>1.01E-3</v>
      </c>
      <c r="Q11" s="3">
        <v>10</v>
      </c>
      <c r="R11" s="3">
        <v>10</v>
      </c>
      <c r="S11" s="3">
        <v>9.9</v>
      </c>
      <c r="T11" s="3">
        <v>9.9666699999999991E-4</v>
      </c>
      <c r="U11" s="3">
        <v>10</v>
      </c>
      <c r="V11" s="3">
        <v>10</v>
      </c>
      <c r="W11" s="3">
        <v>10</v>
      </c>
      <c r="X11" s="3">
        <v>1E-3</v>
      </c>
      <c r="Y11" s="3"/>
    </row>
    <row r="12" spans="1:25" x14ac:dyDescent="0.35">
      <c r="A12" s="3">
        <v>0.5</v>
      </c>
      <c r="B12" s="3">
        <v>0.2</v>
      </c>
      <c r="C12" s="3">
        <v>0.2</v>
      </c>
      <c r="D12" s="3">
        <v>2</v>
      </c>
      <c r="E12" s="3">
        <v>9.6999999999999993</v>
      </c>
      <c r="F12" s="3">
        <v>9.6999999999999993</v>
      </c>
      <c r="G12" s="3">
        <v>9.6</v>
      </c>
      <c r="H12" s="3">
        <v>9.6699999999999998E-4</v>
      </c>
      <c r="I12" s="3">
        <v>11.3</v>
      </c>
      <c r="J12" s="3">
        <v>11.4</v>
      </c>
      <c r="K12" s="3">
        <v>11.3</v>
      </c>
      <c r="L12" s="3">
        <v>1.133333E-3</v>
      </c>
      <c r="M12" s="3">
        <v>11.3</v>
      </c>
      <c r="N12" s="3">
        <v>11.3</v>
      </c>
      <c r="O12" s="3">
        <v>10.7</v>
      </c>
      <c r="P12" s="3">
        <v>1.1100000000000001E-3</v>
      </c>
      <c r="Q12" s="3">
        <v>11.1</v>
      </c>
      <c r="R12" s="3">
        <v>11.3</v>
      </c>
      <c r="S12" s="3">
        <v>11.2</v>
      </c>
      <c r="T12" s="3">
        <v>1.1199999999999999E-3</v>
      </c>
      <c r="U12" s="3">
        <v>11.3</v>
      </c>
      <c r="V12" s="3">
        <v>11.2</v>
      </c>
      <c r="W12" s="3">
        <v>11.3</v>
      </c>
      <c r="X12" s="3">
        <v>1.126667E-3</v>
      </c>
      <c r="Y12" s="3"/>
    </row>
    <row r="13" spans="1:25" x14ac:dyDescent="0.35">
      <c r="A13" s="3">
        <v>0.55000000000000004</v>
      </c>
      <c r="B13" s="3">
        <v>0.15</v>
      </c>
      <c r="C13" s="3">
        <v>0.15</v>
      </c>
      <c r="D13" s="3">
        <v>2.0499999999999998</v>
      </c>
      <c r="E13" s="3">
        <v>11.1</v>
      </c>
      <c r="F13" s="3">
        <v>11.3</v>
      </c>
      <c r="G13" s="3">
        <v>11.6</v>
      </c>
      <c r="H13" s="3">
        <v>1.1329999999999999E-3</v>
      </c>
      <c r="I13" s="3">
        <v>10</v>
      </c>
      <c r="J13" s="3">
        <v>10</v>
      </c>
      <c r="K13" s="3">
        <v>10</v>
      </c>
      <c r="L13" s="3">
        <v>1E-3</v>
      </c>
      <c r="M13" s="3">
        <v>9.8000000000000007</v>
      </c>
      <c r="N13" s="3">
        <v>10</v>
      </c>
      <c r="O13" s="3">
        <v>9.9</v>
      </c>
      <c r="P13" s="3">
        <v>9.8999999999999999E-4</v>
      </c>
      <c r="Q13" s="3">
        <v>9.8000000000000007</v>
      </c>
      <c r="R13" s="3">
        <v>10.1</v>
      </c>
      <c r="S13" s="3">
        <v>10</v>
      </c>
      <c r="T13" s="3">
        <v>9.9666699999999991E-4</v>
      </c>
      <c r="U13" s="3">
        <v>10</v>
      </c>
      <c r="V13" s="3">
        <v>10</v>
      </c>
      <c r="W13" s="3">
        <v>10</v>
      </c>
      <c r="X13" s="3">
        <v>1E-3</v>
      </c>
      <c r="Y13" s="3"/>
    </row>
    <row r="14" spans="1:25" x14ac:dyDescent="0.35">
      <c r="A14" s="3">
        <v>0.67</v>
      </c>
      <c r="B14" s="3">
        <v>0.03</v>
      </c>
      <c r="C14" s="3">
        <v>0.22</v>
      </c>
      <c r="D14" s="3">
        <v>1.98</v>
      </c>
      <c r="E14" s="3">
        <v>9.3000000000000007</v>
      </c>
      <c r="F14" s="3">
        <v>9.1999999999999993</v>
      </c>
      <c r="G14" s="3">
        <v>9</v>
      </c>
      <c r="H14" s="3">
        <v>9.1699999999999995E-4</v>
      </c>
      <c r="I14" s="3">
        <v>6</v>
      </c>
      <c r="J14" s="3">
        <v>6</v>
      </c>
      <c r="K14" s="3">
        <v>5.8</v>
      </c>
      <c r="L14" s="3">
        <v>5.9333300000000003E-4</v>
      </c>
      <c r="M14" s="3">
        <v>5.7</v>
      </c>
      <c r="N14" s="3">
        <v>5.9</v>
      </c>
      <c r="O14" s="3">
        <v>6.2</v>
      </c>
      <c r="P14" s="3">
        <v>5.9333300000000003E-4</v>
      </c>
      <c r="Q14" s="3">
        <v>5.7</v>
      </c>
      <c r="R14" s="3">
        <v>5.9</v>
      </c>
      <c r="S14" s="3">
        <v>5.8</v>
      </c>
      <c r="T14" s="3">
        <v>5.8E-4</v>
      </c>
      <c r="U14" s="3">
        <v>5.7</v>
      </c>
      <c r="V14" s="3">
        <v>5.8</v>
      </c>
      <c r="W14" s="3">
        <v>5.8</v>
      </c>
      <c r="X14" s="3">
        <v>5.76667E-4</v>
      </c>
      <c r="Y14" s="3"/>
    </row>
    <row r="15" spans="1:25" x14ac:dyDescent="0.35">
      <c r="A15" s="3">
        <v>0.6</v>
      </c>
      <c r="B15" s="3">
        <v>0.1</v>
      </c>
      <c r="C15" s="3">
        <v>0.28999999999999998</v>
      </c>
      <c r="D15" s="3">
        <v>1.91</v>
      </c>
      <c r="E15" s="3">
        <v>6</v>
      </c>
      <c r="F15" s="3">
        <v>5.8</v>
      </c>
      <c r="G15" s="3">
        <v>5.9</v>
      </c>
      <c r="H15" s="3">
        <v>5.9000000000000003E-4</v>
      </c>
      <c r="I15" s="3">
        <v>6.9</v>
      </c>
      <c r="J15" s="3">
        <v>7</v>
      </c>
      <c r="K15" s="3">
        <v>6.9</v>
      </c>
      <c r="L15" s="3">
        <v>6.9333299999999997E-4</v>
      </c>
      <c r="M15" s="3">
        <v>6.6</v>
      </c>
      <c r="N15" s="3">
        <v>6.6</v>
      </c>
      <c r="O15" s="3">
        <v>6.7</v>
      </c>
      <c r="P15" s="3">
        <v>6.63333E-4</v>
      </c>
      <c r="Q15" s="3">
        <v>6.7</v>
      </c>
      <c r="R15" s="3">
        <v>6.7</v>
      </c>
      <c r="S15" s="3">
        <v>6.8</v>
      </c>
      <c r="T15" s="3">
        <v>6.7333300000000003E-4</v>
      </c>
      <c r="U15" s="3">
        <v>6.5</v>
      </c>
      <c r="V15" s="3">
        <v>6.5</v>
      </c>
      <c r="W15" s="3">
        <v>6.8</v>
      </c>
      <c r="X15" s="3">
        <v>6.6E-4</v>
      </c>
      <c r="Y15" s="3"/>
    </row>
    <row r="16" spans="1:25" x14ac:dyDescent="0.35">
      <c r="A16" s="3">
        <v>0.68</v>
      </c>
      <c r="B16" s="3">
        <v>0.02</v>
      </c>
      <c r="C16" s="3">
        <v>0.15</v>
      </c>
      <c r="D16" s="3">
        <v>2.0499999999999998</v>
      </c>
      <c r="E16" s="3">
        <v>5.4</v>
      </c>
      <c r="F16" s="3">
        <v>5.0999999999999996</v>
      </c>
      <c r="G16" s="3">
        <v>5.2</v>
      </c>
      <c r="H16" s="3">
        <v>5.2300000000000003E-4</v>
      </c>
      <c r="I16" s="3">
        <v>5</v>
      </c>
      <c r="J16" s="3">
        <v>5</v>
      </c>
      <c r="K16" s="3">
        <v>5</v>
      </c>
      <c r="L16" s="3">
        <v>5.0000000000000001E-4</v>
      </c>
      <c r="M16" s="3">
        <v>5</v>
      </c>
      <c r="N16" s="3">
        <v>5</v>
      </c>
      <c r="O16" s="3">
        <v>5</v>
      </c>
      <c r="P16" s="3">
        <v>5.0000000000000001E-4</v>
      </c>
      <c r="Q16" s="3">
        <v>5</v>
      </c>
      <c r="R16" s="3">
        <v>5</v>
      </c>
      <c r="S16" s="3">
        <v>5</v>
      </c>
      <c r="T16" s="3">
        <v>5.0000000000000001E-4</v>
      </c>
      <c r="U16" s="3">
        <v>5</v>
      </c>
      <c r="V16" s="3">
        <v>4.8</v>
      </c>
      <c r="W16" s="3">
        <v>5</v>
      </c>
      <c r="X16" s="3">
        <v>4.9333299999999999E-4</v>
      </c>
      <c r="Y16" s="3"/>
    </row>
    <row r="17" spans="1:25" x14ac:dyDescent="0.35">
      <c r="A17" s="3">
        <v>0.7</v>
      </c>
      <c r="B17" s="3">
        <v>0</v>
      </c>
      <c r="C17" s="3">
        <v>0.19</v>
      </c>
      <c r="D17" s="3">
        <v>2.0099999999999998</v>
      </c>
      <c r="E17" s="3">
        <v>6.3</v>
      </c>
      <c r="F17" s="3">
        <v>6.4</v>
      </c>
      <c r="G17" s="3">
        <v>6.3</v>
      </c>
      <c r="H17" s="3">
        <v>6.3299999999999999E-4</v>
      </c>
      <c r="I17" s="3">
        <v>4.8</v>
      </c>
      <c r="J17" s="3">
        <v>4.7</v>
      </c>
      <c r="K17" s="3">
        <v>4.5999999999999996</v>
      </c>
      <c r="L17" s="3">
        <v>4.6999999999999999E-4</v>
      </c>
      <c r="M17" s="3">
        <v>4.5999999999999996</v>
      </c>
      <c r="N17" s="3">
        <v>4.5</v>
      </c>
      <c r="O17" s="3">
        <v>4.5999999999999996</v>
      </c>
      <c r="P17" s="3">
        <v>4.5666700000000001E-4</v>
      </c>
      <c r="Q17" s="3">
        <v>4.5999999999999996</v>
      </c>
      <c r="R17" s="3">
        <v>4.5</v>
      </c>
      <c r="S17" s="3">
        <v>4.7</v>
      </c>
      <c r="T17" s="3">
        <v>4.6000000000000001E-4</v>
      </c>
      <c r="U17" s="3">
        <v>5</v>
      </c>
      <c r="V17" s="3">
        <v>4.5</v>
      </c>
      <c r="W17" s="3">
        <v>4.5</v>
      </c>
      <c r="X17" s="3">
        <v>4.6666699999999998E-4</v>
      </c>
      <c r="Y17" s="3"/>
    </row>
    <row r="18" spans="1:25" x14ac:dyDescent="0.35">
      <c r="A18" s="3">
        <v>0.69</v>
      </c>
      <c r="B18" s="3">
        <v>0.01</v>
      </c>
      <c r="C18" s="3">
        <v>0.15</v>
      </c>
      <c r="D18" s="3">
        <v>2.0499999999999998</v>
      </c>
      <c r="E18" s="3">
        <v>4.7</v>
      </c>
      <c r="F18" s="3">
        <v>4.7</v>
      </c>
      <c r="G18" s="3">
        <v>4.7</v>
      </c>
      <c r="H18" s="3">
        <v>4.6999999999999999E-4</v>
      </c>
      <c r="I18" s="3">
        <v>4.8</v>
      </c>
      <c r="J18" s="3">
        <v>4.7</v>
      </c>
      <c r="K18" s="3">
        <v>4.5999999999999996</v>
      </c>
      <c r="L18" s="3">
        <v>4.6999999999999999E-4</v>
      </c>
      <c r="M18" s="3">
        <v>4.8</v>
      </c>
      <c r="N18" s="3">
        <v>4.5999999999999996</v>
      </c>
      <c r="O18" s="3">
        <v>4.8</v>
      </c>
      <c r="P18" s="3">
        <v>4.7333299999999999E-4</v>
      </c>
      <c r="Q18" s="3">
        <v>4.5999999999999996</v>
      </c>
      <c r="R18" s="3">
        <v>4.5999999999999996</v>
      </c>
      <c r="S18" s="3">
        <v>4.5999999999999996</v>
      </c>
      <c r="T18" s="3">
        <v>4.6000000000000001E-4</v>
      </c>
      <c r="U18" s="3">
        <v>4.5999999999999996</v>
      </c>
      <c r="V18" s="3">
        <v>4.8</v>
      </c>
      <c r="W18" s="3">
        <v>4.5999999999999996</v>
      </c>
      <c r="X18" s="3">
        <v>4.6666699999999998E-4</v>
      </c>
      <c r="Y18" s="3"/>
    </row>
    <row r="19" spans="1:25" x14ac:dyDescent="0.35">
      <c r="A19" s="3">
        <v>0.57999999999999996</v>
      </c>
      <c r="B19" s="3">
        <v>0.12</v>
      </c>
      <c r="C19" s="3">
        <v>0.12</v>
      </c>
      <c r="D19" s="3">
        <v>2.08</v>
      </c>
      <c r="E19" s="3">
        <v>6.3</v>
      </c>
      <c r="F19" s="3">
        <v>5.9</v>
      </c>
      <c r="G19" s="3">
        <v>6</v>
      </c>
      <c r="H19" s="3">
        <v>6.0700000000000001E-4</v>
      </c>
      <c r="I19" s="3">
        <v>9.3000000000000007</v>
      </c>
      <c r="J19" s="3">
        <v>9.4</v>
      </c>
      <c r="K19" s="3">
        <v>9.3000000000000007</v>
      </c>
      <c r="L19" s="3">
        <v>9.3333299999999995E-4</v>
      </c>
      <c r="M19" s="3">
        <v>9</v>
      </c>
      <c r="N19" s="3">
        <v>9.1999999999999993</v>
      </c>
      <c r="O19" s="3">
        <v>9.1999999999999993</v>
      </c>
      <c r="P19" s="3">
        <v>9.1333300000000001E-4</v>
      </c>
      <c r="Q19" s="3">
        <v>9.1999999999999993</v>
      </c>
      <c r="R19" s="3">
        <v>9.1999999999999993</v>
      </c>
      <c r="S19" s="3">
        <v>9.1</v>
      </c>
      <c r="T19" s="3">
        <v>9.1666700000000002E-4</v>
      </c>
      <c r="U19" s="3">
        <v>9.3000000000000007</v>
      </c>
      <c r="V19" s="3">
        <v>9.3000000000000007</v>
      </c>
      <c r="W19" s="3">
        <v>9.4</v>
      </c>
      <c r="X19" s="3">
        <v>9.3333299999999995E-4</v>
      </c>
      <c r="Y19" s="3"/>
    </row>
    <row r="20" spans="1:25" x14ac:dyDescent="0.35">
      <c r="A20" s="3">
        <v>0.67</v>
      </c>
      <c r="B20" s="3">
        <v>0.03</v>
      </c>
      <c r="C20" s="3">
        <v>0.11</v>
      </c>
      <c r="D20" s="3">
        <v>2.09</v>
      </c>
      <c r="E20" s="3">
        <v>8.4</v>
      </c>
      <c r="F20" s="3">
        <v>8.8000000000000007</v>
      </c>
      <c r="G20" s="3">
        <v>8.4</v>
      </c>
      <c r="H20" s="3">
        <v>8.5300000000000003E-4</v>
      </c>
      <c r="I20" s="3">
        <v>6.5</v>
      </c>
      <c r="J20" s="3">
        <v>6.2</v>
      </c>
      <c r="K20" s="3">
        <v>6.2</v>
      </c>
      <c r="L20" s="3">
        <v>6.3000000000000003E-4</v>
      </c>
      <c r="M20" s="3">
        <v>6.2</v>
      </c>
      <c r="N20" s="3">
        <v>6.2</v>
      </c>
      <c r="O20" s="3">
        <v>6.4</v>
      </c>
      <c r="P20" s="3">
        <v>6.2666700000000002E-4</v>
      </c>
      <c r="Q20" s="3">
        <v>6.2</v>
      </c>
      <c r="R20" s="3">
        <v>6.1</v>
      </c>
      <c r="S20" s="3">
        <v>6.1</v>
      </c>
      <c r="T20" s="3">
        <v>6.1333299999999998E-4</v>
      </c>
      <c r="U20" s="3">
        <v>6.1</v>
      </c>
      <c r="V20" s="3">
        <v>6.2</v>
      </c>
      <c r="W20" s="3">
        <v>6.2</v>
      </c>
      <c r="X20" s="3">
        <v>6.16667E-4</v>
      </c>
      <c r="Y20" s="3"/>
    </row>
    <row r="21" spans="1:25" x14ac:dyDescent="0.35">
      <c r="A21" s="3">
        <v>0.61</v>
      </c>
      <c r="B21" s="3">
        <v>0.09</v>
      </c>
      <c r="C21" s="3">
        <v>0.18</v>
      </c>
      <c r="D21" s="3">
        <v>2.02</v>
      </c>
      <c r="E21" s="3">
        <v>6.2</v>
      </c>
      <c r="F21" s="3">
        <v>6.3</v>
      </c>
      <c r="G21" s="3">
        <v>6.3</v>
      </c>
      <c r="H21" s="3">
        <v>6.2699999999999995E-4</v>
      </c>
      <c r="I21" s="3">
        <v>7.3</v>
      </c>
      <c r="J21" s="3">
        <v>7.2</v>
      </c>
      <c r="K21" s="3">
        <v>7.3</v>
      </c>
      <c r="L21" s="3">
        <v>7.2666699999999996E-4</v>
      </c>
      <c r="M21" s="3">
        <v>7.3</v>
      </c>
      <c r="N21" s="3">
        <v>7.1</v>
      </c>
      <c r="O21" s="3">
        <v>7.4</v>
      </c>
      <c r="P21" s="3">
        <v>7.2666699999999996E-4</v>
      </c>
      <c r="Q21" s="3">
        <v>7.9</v>
      </c>
      <c r="R21" s="3">
        <v>7.9</v>
      </c>
      <c r="S21" s="3">
        <v>8</v>
      </c>
      <c r="T21" s="3">
        <v>7.9333300000000002E-4</v>
      </c>
      <c r="U21" s="3">
        <v>8.1</v>
      </c>
      <c r="V21" s="3">
        <v>8.1999999999999993</v>
      </c>
      <c r="W21" s="3">
        <v>8</v>
      </c>
      <c r="X21" s="3">
        <v>8.0999999999999996E-4</v>
      </c>
      <c r="Y21" s="3"/>
    </row>
    <row r="22" spans="1:25" x14ac:dyDescent="0.35">
      <c r="A22" s="3"/>
      <c r="B22" s="3"/>
      <c r="C22" s="3"/>
      <c r="D22" s="3"/>
      <c r="E22" s="3">
        <v>6.6</v>
      </c>
      <c r="F22" s="3">
        <v>6.6</v>
      </c>
      <c r="G22" s="3">
        <v>6.7</v>
      </c>
      <c r="H22" s="3">
        <v>6.6299999999999996E-4</v>
      </c>
      <c r="I22" s="3">
        <v>8</v>
      </c>
      <c r="J22" s="3">
        <v>8.1</v>
      </c>
      <c r="K22" s="3">
        <v>7.9</v>
      </c>
      <c r="L22" s="3">
        <v>8.0000000000000004E-4</v>
      </c>
      <c r="M22" s="3">
        <v>7.9</v>
      </c>
      <c r="N22" s="3">
        <v>8.1</v>
      </c>
      <c r="O22" s="3">
        <v>8</v>
      </c>
      <c r="P22" s="3">
        <v>8.0000000000000004E-4</v>
      </c>
      <c r="Q22" s="3">
        <v>7.7</v>
      </c>
      <c r="R22" s="3">
        <v>7.9</v>
      </c>
      <c r="S22" s="3">
        <v>7.8</v>
      </c>
      <c r="T22" s="3">
        <v>7.7999999999999999E-4</v>
      </c>
      <c r="U22" s="3">
        <v>8.1</v>
      </c>
      <c r="V22" s="3">
        <v>8.1</v>
      </c>
      <c r="W22" s="3">
        <v>7.9</v>
      </c>
      <c r="X22" s="3">
        <v>8.0333300000000004E-4</v>
      </c>
      <c r="Y22" s="3"/>
    </row>
    <row r="23" spans="1:25" x14ac:dyDescent="0.35">
      <c r="A23" s="3">
        <v>0.65</v>
      </c>
      <c r="B23" s="3">
        <v>0.05</v>
      </c>
      <c r="C23" s="3">
        <v>0.23</v>
      </c>
      <c r="D23" s="3">
        <v>1.97</v>
      </c>
      <c r="E23" s="3">
        <v>7.7</v>
      </c>
      <c r="F23" s="3">
        <v>7.7</v>
      </c>
      <c r="G23" s="3">
        <v>7.7</v>
      </c>
      <c r="H23" s="3">
        <v>7.6999999999999996E-4</v>
      </c>
      <c r="I23" s="3">
        <v>6.2</v>
      </c>
      <c r="J23" s="3">
        <v>6.3</v>
      </c>
      <c r="K23" s="3">
        <v>6.2</v>
      </c>
      <c r="L23" s="3">
        <v>6.23333E-4</v>
      </c>
      <c r="M23" s="3">
        <v>6.1</v>
      </c>
      <c r="N23" s="3">
        <v>6.1</v>
      </c>
      <c r="O23" s="3">
        <v>6.1</v>
      </c>
      <c r="P23" s="3">
        <v>6.0999999999999997E-4</v>
      </c>
      <c r="Q23" s="3">
        <v>6.2</v>
      </c>
      <c r="R23" s="3">
        <v>6</v>
      </c>
      <c r="S23" s="3">
        <v>6.1</v>
      </c>
      <c r="T23" s="3">
        <v>6.0999999999999997E-4</v>
      </c>
      <c r="U23" s="3">
        <v>5.9</v>
      </c>
      <c r="V23" s="3">
        <v>6.1</v>
      </c>
      <c r="W23" s="3">
        <v>6.1</v>
      </c>
      <c r="X23" s="3">
        <v>6.0333299999999995E-4</v>
      </c>
      <c r="Y23" s="3"/>
    </row>
    <row r="24" spans="1:25" x14ac:dyDescent="0.35">
      <c r="A24" s="3">
        <v>0.68</v>
      </c>
      <c r="B24" s="3">
        <v>0.02</v>
      </c>
      <c r="C24" s="3">
        <v>0.22</v>
      </c>
      <c r="D24" s="3">
        <v>1.98</v>
      </c>
      <c r="E24" s="3">
        <v>6.5</v>
      </c>
      <c r="F24" s="3">
        <v>6.5</v>
      </c>
      <c r="G24" s="3">
        <v>6.5</v>
      </c>
      <c r="H24" s="3">
        <v>6.4999999999999997E-4</v>
      </c>
      <c r="I24" s="3">
        <v>6</v>
      </c>
      <c r="J24" s="3">
        <v>6</v>
      </c>
      <c r="K24" s="3">
        <v>5.9</v>
      </c>
      <c r="L24" s="3">
        <v>5.9666700000000005E-4</v>
      </c>
      <c r="M24" s="3">
        <v>6</v>
      </c>
      <c r="N24" s="3">
        <v>5.9</v>
      </c>
      <c r="O24" s="3">
        <v>6</v>
      </c>
      <c r="P24" s="3">
        <v>5.9666700000000005E-4</v>
      </c>
      <c r="Q24" s="3">
        <v>6.1</v>
      </c>
      <c r="R24" s="3">
        <v>6</v>
      </c>
      <c r="S24" s="3">
        <v>5.9</v>
      </c>
      <c r="T24" s="3">
        <v>5.9999999999999995E-4</v>
      </c>
      <c r="U24" s="3">
        <v>6</v>
      </c>
      <c r="V24" s="3">
        <v>6</v>
      </c>
      <c r="W24" s="3">
        <v>5.9</v>
      </c>
      <c r="X24" s="3">
        <v>5.9666700000000005E-4</v>
      </c>
      <c r="Y24" s="3"/>
    </row>
    <row r="25" spans="1:25" x14ac:dyDescent="0.35">
      <c r="A25" s="3">
        <v>0.56000000000000005</v>
      </c>
      <c r="B25" s="3">
        <v>0.14000000000000001</v>
      </c>
      <c r="C25" s="3">
        <v>0.25</v>
      </c>
      <c r="D25" s="3">
        <v>1.95</v>
      </c>
      <c r="E25" s="3">
        <v>6</v>
      </c>
      <c r="F25" s="3">
        <v>6</v>
      </c>
      <c r="G25" s="3">
        <v>6</v>
      </c>
      <c r="H25" s="3">
        <v>5.9999999999999995E-4</v>
      </c>
      <c r="I25" s="3">
        <v>9.1999999999999993</v>
      </c>
      <c r="J25" s="3">
        <v>9.1</v>
      </c>
      <c r="K25" s="3">
        <v>9.1999999999999993</v>
      </c>
      <c r="L25" s="3">
        <v>9.1666700000000002E-4</v>
      </c>
      <c r="M25" s="3">
        <v>9.1999999999999993</v>
      </c>
      <c r="N25" s="3">
        <v>9</v>
      </c>
      <c r="O25" s="3">
        <v>9.1</v>
      </c>
      <c r="P25" s="3">
        <v>9.1E-4</v>
      </c>
      <c r="Q25" s="3">
        <v>9.1</v>
      </c>
      <c r="R25" s="3">
        <v>9.1</v>
      </c>
      <c r="S25" s="3">
        <v>9</v>
      </c>
      <c r="T25" s="3">
        <v>9.06667E-4</v>
      </c>
      <c r="U25" s="3">
        <v>9.1</v>
      </c>
      <c r="V25" s="3">
        <v>9.1999999999999993</v>
      </c>
      <c r="W25" s="3">
        <v>9.1</v>
      </c>
      <c r="X25" s="3">
        <v>9.1333300000000001E-4</v>
      </c>
      <c r="Y25" s="3"/>
    </row>
    <row r="26" spans="1:25" x14ac:dyDescent="0.35">
      <c r="A26" s="3">
        <v>0.59</v>
      </c>
      <c r="B26" s="3">
        <v>0.11</v>
      </c>
      <c r="C26" s="3">
        <v>0.26</v>
      </c>
      <c r="D26" s="3">
        <v>1.94</v>
      </c>
      <c r="E26" s="3">
        <v>8.1999999999999993</v>
      </c>
      <c r="F26" s="3">
        <v>8.1999999999999993</v>
      </c>
      <c r="G26" s="3">
        <v>8.1999999999999993</v>
      </c>
      <c r="H26" s="3">
        <v>8.1999999999999998E-4</v>
      </c>
      <c r="I26" s="3">
        <v>7.5</v>
      </c>
      <c r="J26" s="3">
        <v>7.3</v>
      </c>
      <c r="K26" s="3">
        <v>7.6</v>
      </c>
      <c r="L26" s="3">
        <v>7.4666700000000001E-4</v>
      </c>
      <c r="M26" s="3">
        <v>7.6</v>
      </c>
      <c r="N26" s="3">
        <v>7.6</v>
      </c>
      <c r="O26" s="3">
        <v>7.7</v>
      </c>
      <c r="P26" s="3">
        <v>7.6333300000000005E-4</v>
      </c>
      <c r="Q26" s="3">
        <v>7.6</v>
      </c>
      <c r="R26" s="3">
        <v>7.5</v>
      </c>
      <c r="S26" s="3">
        <v>7.6</v>
      </c>
      <c r="T26" s="3">
        <v>7.5666700000000004E-4</v>
      </c>
      <c r="U26" s="3">
        <v>7.7</v>
      </c>
      <c r="V26" s="3">
        <v>7.5</v>
      </c>
      <c r="W26" s="3">
        <v>7.5</v>
      </c>
      <c r="X26" s="3">
        <v>7.5666700000000004E-4</v>
      </c>
      <c r="Y26" s="3"/>
    </row>
    <row r="27" spans="1:25" x14ac:dyDescent="0.35">
      <c r="A27" s="3">
        <v>0.53</v>
      </c>
      <c r="B27" s="3">
        <v>0.17</v>
      </c>
      <c r="C27" s="3">
        <v>0.14000000000000001</v>
      </c>
      <c r="D27" s="3">
        <v>2.06</v>
      </c>
      <c r="E27" s="3">
        <v>7.7</v>
      </c>
      <c r="F27" s="3">
        <v>7.3</v>
      </c>
      <c r="G27" s="3">
        <v>7.6</v>
      </c>
      <c r="H27" s="3">
        <v>7.5299999999999998E-4</v>
      </c>
      <c r="I27" s="3">
        <v>9.1</v>
      </c>
      <c r="J27" s="3">
        <v>9.3000000000000007</v>
      </c>
      <c r="K27" s="3">
        <v>9.1999999999999993</v>
      </c>
      <c r="L27" s="3">
        <v>9.2000000000000003E-4</v>
      </c>
      <c r="M27" s="3">
        <v>9</v>
      </c>
      <c r="N27" s="3">
        <v>9.1</v>
      </c>
      <c r="O27" s="3">
        <v>9.1999999999999993</v>
      </c>
      <c r="P27" s="3">
        <v>9.1E-4</v>
      </c>
      <c r="Q27" s="3">
        <v>9</v>
      </c>
      <c r="R27" s="3">
        <v>9.1</v>
      </c>
      <c r="S27" s="3">
        <v>9</v>
      </c>
      <c r="T27" s="3">
        <v>9.0333299999999998E-4</v>
      </c>
      <c r="U27" s="3">
        <v>9</v>
      </c>
      <c r="V27" s="3">
        <v>9.1</v>
      </c>
      <c r="W27" s="3">
        <v>8.9</v>
      </c>
      <c r="X27" s="3">
        <v>8.9999999999999998E-4</v>
      </c>
      <c r="Y27" s="3"/>
    </row>
    <row r="28" spans="1:25" x14ac:dyDescent="0.35">
      <c r="A28" s="3">
        <v>0.64</v>
      </c>
      <c r="B28" s="3">
        <v>0.06</v>
      </c>
      <c r="C28" s="3">
        <v>0.27</v>
      </c>
      <c r="D28" s="3">
        <v>1.93</v>
      </c>
      <c r="E28" s="3">
        <v>10.199999999999999</v>
      </c>
      <c r="F28" s="3">
        <v>10.199999999999999</v>
      </c>
      <c r="G28" s="3">
        <v>10.1</v>
      </c>
      <c r="H28" s="3">
        <v>1.0169999999999999E-3</v>
      </c>
      <c r="I28" s="3">
        <v>6.4</v>
      </c>
      <c r="J28" s="3">
        <v>6.5</v>
      </c>
      <c r="K28" s="3">
        <v>6.4</v>
      </c>
      <c r="L28" s="3">
        <v>6.4333299999999995E-4</v>
      </c>
      <c r="M28" s="3">
        <v>6.2</v>
      </c>
      <c r="N28" s="3">
        <v>6.4</v>
      </c>
      <c r="O28" s="3">
        <v>6.5</v>
      </c>
      <c r="P28" s="3">
        <v>6.3666700000000005E-4</v>
      </c>
      <c r="Q28" s="3">
        <v>6.4</v>
      </c>
      <c r="R28" s="3">
        <v>6.5</v>
      </c>
      <c r="S28" s="3">
        <v>6.5</v>
      </c>
      <c r="T28" s="3">
        <v>6.4666699999999997E-4</v>
      </c>
      <c r="U28" s="3">
        <v>6.2</v>
      </c>
      <c r="V28" s="3">
        <v>6.5</v>
      </c>
      <c r="W28" s="3">
        <v>6.6</v>
      </c>
      <c r="X28" s="3">
        <v>6.4333299999999995E-4</v>
      </c>
      <c r="Y28" s="3"/>
    </row>
    <row r="29" spans="1:25" x14ac:dyDescent="0.35">
      <c r="A29" s="3">
        <v>0.65</v>
      </c>
      <c r="B29" s="3">
        <v>0.05</v>
      </c>
      <c r="C29" s="3">
        <v>0.16</v>
      </c>
      <c r="D29" s="3">
        <v>2.04</v>
      </c>
      <c r="E29" s="3">
        <v>6.4</v>
      </c>
      <c r="F29" s="3">
        <v>6.5</v>
      </c>
      <c r="G29" s="3">
        <v>6.4</v>
      </c>
      <c r="H29" s="3">
        <v>6.4300000000000002E-4</v>
      </c>
      <c r="I29" s="3">
        <v>7.6</v>
      </c>
      <c r="J29" s="3">
        <v>5.4</v>
      </c>
      <c r="K29" s="3">
        <v>6.7</v>
      </c>
      <c r="L29" s="3">
        <v>6.5666699999999999E-4</v>
      </c>
      <c r="M29" s="3">
        <v>6.5</v>
      </c>
      <c r="N29" s="3">
        <v>6.5</v>
      </c>
      <c r="O29" s="3">
        <v>6.6</v>
      </c>
      <c r="P29" s="3">
        <v>6.5333299999999997E-4</v>
      </c>
      <c r="Q29" s="3">
        <v>6.6</v>
      </c>
      <c r="R29" s="3">
        <v>6.4</v>
      </c>
      <c r="S29" s="3">
        <v>6.4</v>
      </c>
      <c r="T29" s="3">
        <v>6.4666699999999997E-4</v>
      </c>
      <c r="U29" s="3">
        <v>6.5</v>
      </c>
      <c r="V29" s="3">
        <v>6.3</v>
      </c>
      <c r="W29" s="3">
        <v>6.5</v>
      </c>
      <c r="X29" s="3">
        <v>6.4333299999999995E-4</v>
      </c>
      <c r="Y29" s="3"/>
    </row>
    <row r="30" spans="1:25" x14ac:dyDescent="0.35">
      <c r="A30" s="3">
        <v>0.52</v>
      </c>
      <c r="B30" s="3">
        <v>0.18</v>
      </c>
      <c r="C30" s="3">
        <v>0.24</v>
      </c>
      <c r="D30" s="3">
        <v>1.96</v>
      </c>
      <c r="E30" s="3">
        <v>6.4</v>
      </c>
      <c r="F30" s="3">
        <v>6.4</v>
      </c>
      <c r="G30" s="3">
        <v>6.4</v>
      </c>
      <c r="H30" s="3">
        <v>6.4000000000000005E-4</v>
      </c>
      <c r="I30" s="3">
        <v>9.1</v>
      </c>
      <c r="J30" s="3">
        <v>9.1</v>
      </c>
      <c r="K30" s="3">
        <v>9</v>
      </c>
      <c r="L30" s="3">
        <v>9.06667E-4</v>
      </c>
      <c r="M30" s="3">
        <v>9.3000000000000007</v>
      </c>
      <c r="N30" s="3">
        <v>8.9</v>
      </c>
      <c r="O30" s="3">
        <v>9</v>
      </c>
      <c r="P30" s="3">
        <v>9.06667E-4</v>
      </c>
      <c r="Q30" s="3">
        <v>8.9</v>
      </c>
      <c r="R30" s="3">
        <v>8.8000000000000007</v>
      </c>
      <c r="S30" s="3">
        <v>8.6</v>
      </c>
      <c r="T30" s="3">
        <v>8.7666700000000003E-4</v>
      </c>
      <c r="U30" s="3">
        <v>8.6</v>
      </c>
      <c r="V30" s="3">
        <v>8.5</v>
      </c>
      <c r="W30" s="3">
        <v>8.8000000000000007</v>
      </c>
      <c r="X30" s="3">
        <v>8.6333299999999998E-4</v>
      </c>
      <c r="Y30" s="3"/>
    </row>
    <row r="31" spans="1:25" x14ac:dyDescent="0.35">
      <c r="A31" s="3">
        <v>0.55000000000000004</v>
      </c>
      <c r="B31" s="3">
        <v>0.15</v>
      </c>
      <c r="C31" s="3">
        <v>0.13</v>
      </c>
      <c r="D31" s="3">
        <v>2.0699999999999998</v>
      </c>
      <c r="E31" s="3">
        <v>10.9</v>
      </c>
      <c r="F31" s="3">
        <v>10.6</v>
      </c>
      <c r="G31" s="3">
        <v>10.9</v>
      </c>
      <c r="H31" s="3">
        <v>1.08E-3</v>
      </c>
      <c r="I31" s="3">
        <v>10.1</v>
      </c>
      <c r="J31" s="3">
        <v>10.1</v>
      </c>
      <c r="K31" s="3">
        <v>10.199999999999999</v>
      </c>
      <c r="L31" s="3">
        <v>1.0133329999999999E-3</v>
      </c>
      <c r="M31" s="3">
        <v>10.199999999999999</v>
      </c>
      <c r="N31" s="3">
        <v>10.199999999999999</v>
      </c>
      <c r="O31" s="3">
        <v>10.199999999999999</v>
      </c>
      <c r="P31" s="3">
        <v>1.0200000000000001E-3</v>
      </c>
      <c r="Q31" s="3">
        <v>10.3</v>
      </c>
      <c r="R31" s="3">
        <v>10.199999999999999</v>
      </c>
      <c r="S31" s="3">
        <v>10.199999999999999</v>
      </c>
      <c r="T31" s="3">
        <v>1.023333E-3</v>
      </c>
      <c r="U31" s="3">
        <v>10.4</v>
      </c>
      <c r="V31" s="3">
        <v>10.3</v>
      </c>
      <c r="W31" s="3">
        <v>10</v>
      </c>
      <c r="X31" s="3">
        <v>1.023333E-3</v>
      </c>
      <c r="Y31" s="3"/>
    </row>
    <row r="32" spans="1:25" x14ac:dyDescent="0.35">
      <c r="A32" s="3">
        <v>0.52</v>
      </c>
      <c r="B32" s="3">
        <v>0.18</v>
      </c>
      <c r="C32" s="3">
        <v>0.28000000000000003</v>
      </c>
      <c r="D32" s="3">
        <v>1.92</v>
      </c>
      <c r="E32" s="3">
        <v>9.5</v>
      </c>
      <c r="F32" s="3">
        <v>9.4</v>
      </c>
      <c r="G32" s="3">
        <v>9.6999999999999993</v>
      </c>
      <c r="H32" s="3">
        <v>9.5299999999999996E-4</v>
      </c>
      <c r="I32" s="3">
        <v>9.8000000000000007</v>
      </c>
      <c r="J32" s="3">
        <v>9.5</v>
      </c>
      <c r="K32" s="3">
        <v>9.9</v>
      </c>
      <c r="L32" s="3">
        <v>9.7333300000000005E-4</v>
      </c>
      <c r="M32" s="3">
        <v>9.5</v>
      </c>
      <c r="N32" s="3">
        <v>9.4</v>
      </c>
      <c r="O32" s="3">
        <v>9.6</v>
      </c>
      <c r="P32" s="3">
        <v>9.5E-4</v>
      </c>
      <c r="Q32" s="3">
        <v>9.5</v>
      </c>
      <c r="R32" s="3">
        <v>9.8000000000000007</v>
      </c>
      <c r="S32" s="3">
        <v>9.5</v>
      </c>
      <c r="T32" s="3">
        <v>9.6000000000000002E-4</v>
      </c>
      <c r="U32" s="3">
        <v>9.8000000000000007</v>
      </c>
      <c r="V32" s="3">
        <v>9.5</v>
      </c>
      <c r="W32" s="3">
        <v>9.9</v>
      </c>
      <c r="X32" s="3">
        <v>9.7333300000000005E-4</v>
      </c>
      <c r="Y32" s="3"/>
    </row>
    <row r="33" spans="1:25" x14ac:dyDescent="0.35">
      <c r="A33" s="3">
        <v>0.63</v>
      </c>
      <c r="B33" s="3">
        <v>7.0000000000000007E-2</v>
      </c>
      <c r="C33" s="3">
        <v>0.21</v>
      </c>
      <c r="D33" s="3">
        <v>1.99</v>
      </c>
      <c r="E33" s="3">
        <v>9.5</v>
      </c>
      <c r="F33" s="3">
        <v>9.6</v>
      </c>
      <c r="G33" s="3">
        <v>9.9</v>
      </c>
      <c r="H33" s="3">
        <v>9.6699999999999998E-4</v>
      </c>
      <c r="I33" s="3">
        <v>6.9</v>
      </c>
      <c r="J33" s="3">
        <v>6.8</v>
      </c>
      <c r="K33" s="3">
        <v>6.7</v>
      </c>
      <c r="L33" s="3">
        <v>6.8000000000000005E-4</v>
      </c>
      <c r="M33" s="3">
        <v>6.6</v>
      </c>
      <c r="N33" s="3">
        <v>6.8</v>
      </c>
      <c r="O33" s="3">
        <v>6.8</v>
      </c>
      <c r="P33" s="3">
        <v>6.7333300000000003E-4</v>
      </c>
      <c r="Q33" s="3">
        <v>6.8</v>
      </c>
      <c r="R33" s="3">
        <v>6.7</v>
      </c>
      <c r="S33" s="3">
        <v>6.6</v>
      </c>
      <c r="T33" s="3">
        <v>6.7000000000000002E-4</v>
      </c>
      <c r="U33" s="3">
        <v>6.9</v>
      </c>
      <c r="V33" s="3">
        <v>6.9</v>
      </c>
      <c r="W33" s="3">
        <v>6.7</v>
      </c>
      <c r="X33" s="3">
        <v>6.8333300000000005E-4</v>
      </c>
      <c r="Y33" s="3"/>
    </row>
    <row r="34" spans="1:25" x14ac:dyDescent="0.35">
      <c r="A34" s="3">
        <v>0.56999999999999995</v>
      </c>
      <c r="B34" s="3">
        <v>0.13</v>
      </c>
      <c r="C34" s="3">
        <v>0.27</v>
      </c>
      <c r="D34" s="3">
        <v>1.93</v>
      </c>
      <c r="E34" s="3">
        <v>7.7</v>
      </c>
      <c r="F34" s="3">
        <v>7.7</v>
      </c>
      <c r="G34" s="3">
        <v>7.7</v>
      </c>
      <c r="H34" s="3">
        <v>7.6999999999999996E-4</v>
      </c>
      <c r="I34" s="3">
        <v>9.1</v>
      </c>
      <c r="J34" s="3">
        <v>9.1999999999999993</v>
      </c>
      <c r="K34" s="3">
        <v>9.1999999999999993</v>
      </c>
      <c r="L34" s="3">
        <v>9.1666700000000002E-4</v>
      </c>
      <c r="M34" s="3">
        <v>9.1999999999999993</v>
      </c>
      <c r="N34" s="3">
        <v>9.3000000000000007</v>
      </c>
      <c r="O34" s="3">
        <v>9.1999999999999993</v>
      </c>
      <c r="P34" s="3">
        <v>9.2333300000000003E-4</v>
      </c>
      <c r="Q34" s="3">
        <v>9.1999999999999993</v>
      </c>
      <c r="R34" s="3">
        <v>9.3000000000000007</v>
      </c>
      <c r="S34" s="3">
        <v>9.3000000000000007</v>
      </c>
      <c r="T34" s="3">
        <v>9.2666700000000005E-4</v>
      </c>
      <c r="U34" s="3">
        <v>9.3000000000000007</v>
      </c>
      <c r="V34" s="3">
        <v>9.4</v>
      </c>
      <c r="W34" s="3">
        <v>9.3000000000000007</v>
      </c>
      <c r="X34" s="3">
        <v>9.3333299999999995E-4</v>
      </c>
      <c r="Y34" s="3"/>
    </row>
    <row r="35" spans="1:25" x14ac:dyDescent="0.35">
      <c r="A35" s="3">
        <v>0.63</v>
      </c>
      <c r="B35" s="3">
        <v>7.0000000000000007E-2</v>
      </c>
      <c r="C35" s="3">
        <v>0.2</v>
      </c>
      <c r="D35" s="3">
        <v>2</v>
      </c>
      <c r="E35" s="3">
        <v>9</v>
      </c>
      <c r="F35" s="3">
        <v>9.3000000000000007</v>
      </c>
      <c r="G35" s="3">
        <v>9.4</v>
      </c>
      <c r="H35" s="3">
        <v>9.2299999999999999E-4</v>
      </c>
      <c r="I35" s="3">
        <v>7.3</v>
      </c>
      <c r="J35" s="3">
        <v>7.4</v>
      </c>
      <c r="K35" s="3">
        <v>7.3</v>
      </c>
      <c r="L35" s="3">
        <v>7.3333299999999997E-4</v>
      </c>
      <c r="M35" s="3">
        <v>7.4</v>
      </c>
      <c r="N35" s="3">
        <v>7.6</v>
      </c>
      <c r="O35" s="3">
        <v>7.5</v>
      </c>
      <c r="P35" s="3">
        <v>7.5000000000000002E-4</v>
      </c>
      <c r="Q35" s="3">
        <v>7.4</v>
      </c>
      <c r="R35" s="3">
        <v>7.3</v>
      </c>
      <c r="S35" s="3">
        <v>7.3</v>
      </c>
      <c r="T35" s="3">
        <v>7.3333299999999997E-4</v>
      </c>
      <c r="U35" s="3">
        <v>7.4</v>
      </c>
      <c r="V35" s="3">
        <v>7.5</v>
      </c>
      <c r="W35" s="3">
        <v>7.3</v>
      </c>
      <c r="X35" s="3">
        <v>7.3999999999999999E-4</v>
      </c>
      <c r="Y35" s="3"/>
    </row>
    <row r="36" spans="1:2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6" x14ac:dyDescent="0.6">
      <c r="A37" s="24" t="s">
        <v>31</v>
      </c>
      <c r="B37" s="25"/>
      <c r="C37" s="2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5">
      <c r="A38" s="1" t="s">
        <v>0</v>
      </c>
      <c r="B38" s="1" t="s">
        <v>1</v>
      </c>
      <c r="C38" s="1" t="s">
        <v>2</v>
      </c>
      <c r="D38" s="2" t="s">
        <v>3</v>
      </c>
      <c r="E38" s="33">
        <v>0</v>
      </c>
      <c r="F38" s="32"/>
      <c r="G38" s="32"/>
      <c r="H38" s="32" t="s">
        <v>24</v>
      </c>
      <c r="I38" s="32">
        <v>4</v>
      </c>
      <c r="J38" s="32"/>
      <c r="K38" s="32"/>
      <c r="L38" s="32" t="s">
        <v>25</v>
      </c>
      <c r="M38" s="32">
        <v>8</v>
      </c>
      <c r="N38" s="32"/>
      <c r="O38" s="32"/>
      <c r="P38" s="32" t="s">
        <v>26</v>
      </c>
      <c r="Q38" s="32">
        <v>12</v>
      </c>
      <c r="R38" s="32"/>
      <c r="S38" s="32"/>
      <c r="T38" s="32" t="s">
        <v>12</v>
      </c>
      <c r="U38" s="32">
        <v>16</v>
      </c>
      <c r="V38" s="32"/>
      <c r="W38" s="32"/>
      <c r="X38" s="32" t="s">
        <v>27</v>
      </c>
      <c r="Y38" s="3"/>
    </row>
    <row r="39" spans="1:25" x14ac:dyDescent="0.35">
      <c r="A39" s="4"/>
      <c r="B39" s="4"/>
      <c r="C39" s="4"/>
      <c r="D39" s="4"/>
      <c r="E39" s="7" t="s">
        <v>28</v>
      </c>
      <c r="F39" s="7" t="s">
        <v>29</v>
      </c>
      <c r="G39" s="7" t="s">
        <v>30</v>
      </c>
      <c r="H39" s="32"/>
      <c r="I39" s="7" t="s">
        <v>28</v>
      </c>
      <c r="J39" s="7" t="s">
        <v>29</v>
      </c>
      <c r="K39" s="7" t="s">
        <v>30</v>
      </c>
      <c r="L39" s="32"/>
      <c r="M39" s="7" t="s">
        <v>28</v>
      </c>
      <c r="N39" s="7" t="s">
        <v>29</v>
      </c>
      <c r="O39" s="7" t="s">
        <v>30</v>
      </c>
      <c r="P39" s="32"/>
      <c r="Q39" s="7" t="s">
        <v>28</v>
      </c>
      <c r="R39" s="7" t="s">
        <v>29</v>
      </c>
      <c r="S39" s="7" t="s">
        <v>30</v>
      </c>
      <c r="T39" s="32"/>
      <c r="U39" s="7" t="s">
        <v>28</v>
      </c>
      <c r="V39" s="7" t="s">
        <v>29</v>
      </c>
      <c r="W39" s="7" t="s">
        <v>30</v>
      </c>
      <c r="X39" s="32"/>
      <c r="Y39" s="3"/>
    </row>
    <row r="40" spans="1:25" x14ac:dyDescent="0.35">
      <c r="A40" s="3">
        <v>0.6</v>
      </c>
      <c r="B40" s="3">
        <v>0.1</v>
      </c>
      <c r="C40" s="3">
        <v>0.18</v>
      </c>
      <c r="D40" s="3">
        <v>2.02</v>
      </c>
      <c r="E40" s="3">
        <v>0</v>
      </c>
      <c r="F40" s="3">
        <v>0</v>
      </c>
      <c r="G40" s="3">
        <v>0</v>
      </c>
      <c r="H40" s="3">
        <v>0</v>
      </c>
      <c r="I40" s="3">
        <v>1.1000000000000001</v>
      </c>
      <c r="J40" s="3">
        <v>1.1000000000000001</v>
      </c>
      <c r="K40" s="3">
        <v>1</v>
      </c>
      <c r="L40" s="3">
        <v>1.06667E-4</v>
      </c>
      <c r="M40" s="3">
        <v>1</v>
      </c>
      <c r="N40" s="3">
        <v>1.1000000000000001</v>
      </c>
      <c r="O40" s="3">
        <v>1</v>
      </c>
      <c r="P40" s="3">
        <v>1.0333299999999999E-4</v>
      </c>
      <c r="Q40" s="3">
        <v>1.1000000000000001</v>
      </c>
      <c r="R40" s="3">
        <v>1</v>
      </c>
      <c r="S40" s="3">
        <v>1.2</v>
      </c>
      <c r="T40" s="3">
        <v>1.1E-4</v>
      </c>
      <c r="U40" s="3">
        <v>1.2</v>
      </c>
      <c r="V40" s="3">
        <v>1.3</v>
      </c>
      <c r="W40" s="3">
        <v>1.1000000000000001</v>
      </c>
      <c r="X40" s="3">
        <v>1.2E-4</v>
      </c>
      <c r="Y40" s="3"/>
    </row>
    <row r="41" spans="1:25" x14ac:dyDescent="0.35">
      <c r="A41" s="3">
        <v>0.62</v>
      </c>
      <c r="B41" s="3">
        <v>0.08</v>
      </c>
      <c r="C41" s="3">
        <v>0.3</v>
      </c>
      <c r="D41" s="3">
        <v>1.9</v>
      </c>
      <c r="E41" s="3">
        <v>1.2</v>
      </c>
      <c r="F41" s="3">
        <v>1.3</v>
      </c>
      <c r="G41" s="3">
        <v>1.1000000000000001</v>
      </c>
      <c r="H41" s="3">
        <v>1.2E-4</v>
      </c>
      <c r="I41" s="3">
        <v>1.7</v>
      </c>
      <c r="J41" s="3">
        <v>1.4</v>
      </c>
      <c r="K41" s="3">
        <v>1.6</v>
      </c>
      <c r="L41" s="3">
        <v>1.5666700000000001E-4</v>
      </c>
      <c r="M41" s="3">
        <v>1.5</v>
      </c>
      <c r="N41" s="3">
        <v>1.3</v>
      </c>
      <c r="O41" s="3">
        <v>1.3</v>
      </c>
      <c r="P41" s="3">
        <v>1.3666700000000001E-4</v>
      </c>
      <c r="Q41" s="3">
        <v>1.6</v>
      </c>
      <c r="R41" s="3">
        <v>1.4</v>
      </c>
      <c r="S41" s="3">
        <v>1.5</v>
      </c>
      <c r="T41" s="3">
        <v>1.4999999999999999E-4</v>
      </c>
      <c r="U41" s="3">
        <v>1.1000000000000001</v>
      </c>
      <c r="V41" s="3">
        <v>1.7</v>
      </c>
      <c r="W41" s="3">
        <v>1.4</v>
      </c>
      <c r="X41" s="3">
        <v>1.3999999999999999E-4</v>
      </c>
      <c r="Y41" s="3"/>
    </row>
    <row r="42" spans="1:25" x14ac:dyDescent="0.35">
      <c r="A42" s="3">
        <v>0.53</v>
      </c>
      <c r="B42" s="3">
        <v>0.17</v>
      </c>
      <c r="C42" s="3">
        <v>0.28000000000000003</v>
      </c>
      <c r="D42" s="3">
        <v>1.92</v>
      </c>
      <c r="E42" s="3">
        <v>1.2</v>
      </c>
      <c r="F42" s="3">
        <v>1.3</v>
      </c>
      <c r="G42" s="3">
        <v>1.2</v>
      </c>
      <c r="H42" s="3">
        <v>1.2300000000000001E-4</v>
      </c>
      <c r="I42" s="3">
        <v>1.5</v>
      </c>
      <c r="J42" s="3">
        <v>1.7</v>
      </c>
      <c r="K42" s="3">
        <v>1.7</v>
      </c>
      <c r="L42" s="3">
        <v>1.6333299999999999E-4</v>
      </c>
      <c r="M42" s="3">
        <v>1.8</v>
      </c>
      <c r="N42" s="3">
        <v>1.9</v>
      </c>
      <c r="O42" s="3">
        <v>1.6</v>
      </c>
      <c r="P42" s="3">
        <v>1.7666700000000001E-4</v>
      </c>
      <c r="Q42" s="3">
        <v>1.6</v>
      </c>
      <c r="R42" s="3">
        <v>1.6</v>
      </c>
      <c r="S42" s="3">
        <v>1.8</v>
      </c>
      <c r="T42" s="3">
        <v>1.6666700000000001E-4</v>
      </c>
      <c r="U42" s="3">
        <v>1.7</v>
      </c>
      <c r="V42" s="3">
        <v>1.7</v>
      </c>
      <c r="W42" s="3">
        <v>1.4</v>
      </c>
      <c r="X42" s="3">
        <v>1.6000000000000001E-4</v>
      </c>
      <c r="Y42" s="3"/>
    </row>
    <row r="43" spans="1:25" x14ac:dyDescent="0.35">
      <c r="A43" s="3">
        <v>0.63</v>
      </c>
      <c r="B43" s="3">
        <v>7.0000000000000007E-2</v>
      </c>
      <c r="C43" s="3">
        <v>0.11</v>
      </c>
      <c r="D43" s="3">
        <v>2.09</v>
      </c>
      <c r="E43" s="3">
        <v>1.6</v>
      </c>
      <c r="F43" s="3">
        <v>1.6</v>
      </c>
      <c r="G43" s="3">
        <v>1.6</v>
      </c>
      <c r="H43" s="3">
        <v>1.6000000000000001E-4</v>
      </c>
      <c r="I43" s="3">
        <v>0.7</v>
      </c>
      <c r="J43" s="3">
        <v>0.7</v>
      </c>
      <c r="K43" s="3">
        <v>1.1000000000000001</v>
      </c>
      <c r="L43" s="26">
        <v>8.3333300000000004E-5</v>
      </c>
      <c r="M43" s="3">
        <v>0.8</v>
      </c>
      <c r="N43" s="3">
        <v>0.6</v>
      </c>
      <c r="O43" s="3">
        <v>0.8</v>
      </c>
      <c r="P43" s="26">
        <v>7.3333300000000005E-5</v>
      </c>
      <c r="Q43" s="3">
        <v>0.8</v>
      </c>
      <c r="R43" s="3">
        <v>0.7</v>
      </c>
      <c r="S43" s="3">
        <v>0.7</v>
      </c>
      <c r="T43" s="26">
        <v>7.3333300000000005E-5</v>
      </c>
      <c r="U43" s="3">
        <v>0.7</v>
      </c>
      <c r="V43" s="3">
        <v>0.9</v>
      </c>
      <c r="W43" s="3">
        <v>0.8</v>
      </c>
      <c r="X43" s="3">
        <v>8.0000000000000007E-5</v>
      </c>
      <c r="Y43" s="3"/>
    </row>
    <row r="44" spans="1:25" x14ac:dyDescent="0.35">
      <c r="A44" s="3">
        <v>0.57999999999999996</v>
      </c>
      <c r="B44" s="3">
        <v>0.12</v>
      </c>
      <c r="C44" s="3">
        <v>0.24</v>
      </c>
      <c r="D44" s="3">
        <v>1.96</v>
      </c>
      <c r="E44" s="3">
        <v>0.6</v>
      </c>
      <c r="F44" s="3">
        <v>0.6</v>
      </c>
      <c r="G44" s="3">
        <v>0.7</v>
      </c>
      <c r="H44" s="3">
        <v>6.3E-5</v>
      </c>
      <c r="I44" s="3">
        <v>1.6</v>
      </c>
      <c r="J44" s="3">
        <v>1.5</v>
      </c>
      <c r="K44" s="3">
        <v>1.5</v>
      </c>
      <c r="L44" s="3">
        <v>1.5333299999999999E-4</v>
      </c>
      <c r="M44" s="3">
        <v>1.5</v>
      </c>
      <c r="N44" s="3">
        <v>1.4</v>
      </c>
      <c r="O44" s="3">
        <v>1.6</v>
      </c>
      <c r="P44" s="3">
        <v>1.4999999999999999E-4</v>
      </c>
      <c r="Q44" s="3">
        <v>1.5</v>
      </c>
      <c r="R44" s="3">
        <v>1.6</v>
      </c>
      <c r="S44" s="3">
        <v>1.5</v>
      </c>
      <c r="T44" s="3">
        <v>1.5333299999999999E-4</v>
      </c>
      <c r="U44" s="3">
        <v>1.2</v>
      </c>
      <c r="V44" s="3">
        <v>1.6</v>
      </c>
      <c r="W44" s="3">
        <v>1.6</v>
      </c>
      <c r="X44" s="3">
        <v>1.4666700000000001E-4</v>
      </c>
      <c r="Y44" s="3"/>
    </row>
    <row r="45" spans="1:25" x14ac:dyDescent="0.35">
      <c r="A45" s="3">
        <v>0.51</v>
      </c>
      <c r="B45" s="3">
        <v>0.19</v>
      </c>
      <c r="C45" s="3">
        <v>0.12</v>
      </c>
      <c r="D45" s="3">
        <v>2.08</v>
      </c>
      <c r="E45" s="3">
        <v>1</v>
      </c>
      <c r="F45" s="3">
        <v>1.2</v>
      </c>
      <c r="G45" s="3">
        <v>1</v>
      </c>
      <c r="H45" s="3">
        <v>1.07E-4</v>
      </c>
      <c r="I45" s="3">
        <v>0.9</v>
      </c>
      <c r="J45" s="3">
        <v>0.9</v>
      </c>
      <c r="K45" s="3">
        <v>0.9</v>
      </c>
      <c r="L45" s="3">
        <v>9.0000000000000006E-5</v>
      </c>
      <c r="M45" s="3">
        <v>0.6</v>
      </c>
      <c r="N45" s="3">
        <v>0.8</v>
      </c>
      <c r="O45" s="3">
        <v>0.7</v>
      </c>
      <c r="P45" s="26">
        <v>6.9999999999999994E-5</v>
      </c>
      <c r="Q45" s="3">
        <v>0.8</v>
      </c>
      <c r="R45" s="3">
        <v>0.9</v>
      </c>
      <c r="S45" s="3">
        <v>0.9</v>
      </c>
      <c r="T45" s="26">
        <v>8.6666699999999995E-5</v>
      </c>
      <c r="U45" s="3">
        <v>0.8</v>
      </c>
      <c r="V45" s="3">
        <v>0.7</v>
      </c>
      <c r="W45" s="3">
        <v>1</v>
      </c>
      <c r="X45" s="26">
        <v>8.3333300000000004E-5</v>
      </c>
      <c r="Y45" s="3"/>
    </row>
    <row r="46" spans="1:25" x14ac:dyDescent="0.35">
      <c r="A46" s="3">
        <v>0.55000000000000004</v>
      </c>
      <c r="B46" s="3">
        <v>0.15</v>
      </c>
      <c r="C46" s="3">
        <v>0.17</v>
      </c>
      <c r="D46" s="3">
        <v>2.0299999999999998</v>
      </c>
      <c r="E46" s="3">
        <v>0.9</v>
      </c>
      <c r="F46" s="3">
        <v>0.8</v>
      </c>
      <c r="G46" s="3">
        <v>0.8</v>
      </c>
      <c r="H46" s="3">
        <v>8.2999999999999998E-5</v>
      </c>
      <c r="I46" s="3">
        <v>1.1000000000000001</v>
      </c>
      <c r="J46" s="3">
        <v>1.1000000000000001</v>
      </c>
      <c r="K46" s="3">
        <v>1.1000000000000001</v>
      </c>
      <c r="L46" s="3">
        <v>1.1E-4</v>
      </c>
      <c r="M46" s="3">
        <v>1.2</v>
      </c>
      <c r="N46" s="3">
        <v>1.2</v>
      </c>
      <c r="O46" s="3">
        <v>1</v>
      </c>
      <c r="P46" s="3">
        <v>1.1333299999999999E-4</v>
      </c>
      <c r="Q46" s="3">
        <v>1.2</v>
      </c>
      <c r="R46" s="3">
        <v>1.1000000000000001</v>
      </c>
      <c r="S46" s="3">
        <v>1.2</v>
      </c>
      <c r="T46" s="3">
        <v>1.16667E-4</v>
      </c>
      <c r="U46" s="3">
        <v>1.2</v>
      </c>
      <c r="V46" s="3">
        <v>1.4</v>
      </c>
      <c r="W46" s="3">
        <v>1.1000000000000001</v>
      </c>
      <c r="X46" s="3">
        <v>1.2333299999999999E-4</v>
      </c>
      <c r="Y46" s="3"/>
    </row>
    <row r="47" spans="1:25" x14ac:dyDescent="0.35">
      <c r="A47" s="3">
        <v>0.5</v>
      </c>
      <c r="B47" s="3">
        <v>0.2</v>
      </c>
      <c r="C47" s="3">
        <v>0.2</v>
      </c>
      <c r="D47" s="3">
        <v>2</v>
      </c>
      <c r="E47" s="3">
        <v>1.2</v>
      </c>
      <c r="F47" s="3">
        <v>1.2</v>
      </c>
      <c r="G47" s="3">
        <v>1.1000000000000001</v>
      </c>
      <c r="H47" s="3">
        <v>1.17E-4</v>
      </c>
      <c r="I47" s="3">
        <v>1.4</v>
      </c>
      <c r="J47" s="3">
        <v>1.3</v>
      </c>
      <c r="K47" s="3">
        <v>1.4</v>
      </c>
      <c r="L47" s="3">
        <v>1.3666700000000001E-4</v>
      </c>
      <c r="M47" s="3">
        <v>1.4</v>
      </c>
      <c r="N47" s="3">
        <v>1.4</v>
      </c>
      <c r="O47" s="3">
        <v>1.4</v>
      </c>
      <c r="P47" s="3">
        <v>1.3999999999999999E-4</v>
      </c>
      <c r="Q47" s="3">
        <v>1.3</v>
      </c>
      <c r="R47" s="3">
        <v>1.2</v>
      </c>
      <c r="S47" s="3">
        <v>1.4</v>
      </c>
      <c r="T47" s="3">
        <v>1.2999999999999999E-4</v>
      </c>
      <c r="U47" s="3">
        <v>1.2</v>
      </c>
      <c r="V47" s="3">
        <v>1.3</v>
      </c>
      <c r="W47" s="3">
        <v>1.4</v>
      </c>
      <c r="X47" s="3">
        <v>1.2999999999999999E-4</v>
      </c>
      <c r="Y47" s="3"/>
    </row>
    <row r="48" spans="1:25" x14ac:dyDescent="0.35">
      <c r="A48" s="3">
        <v>0.55000000000000004</v>
      </c>
      <c r="B48" s="3">
        <v>0.15</v>
      </c>
      <c r="C48" s="3">
        <v>0.15</v>
      </c>
      <c r="D48" s="3">
        <v>2.0499999999999998</v>
      </c>
      <c r="E48" s="3">
        <v>1.5</v>
      </c>
      <c r="F48" s="3">
        <v>1.2</v>
      </c>
      <c r="G48" s="3">
        <v>1.1000000000000001</v>
      </c>
      <c r="H48" s="3">
        <v>1.27E-4</v>
      </c>
      <c r="I48" s="3">
        <v>1.1000000000000001</v>
      </c>
      <c r="J48" s="3">
        <v>1.2</v>
      </c>
      <c r="K48" s="3">
        <v>1.2</v>
      </c>
      <c r="L48" s="3">
        <v>1.16667E-4</v>
      </c>
      <c r="M48" s="3">
        <v>1.1000000000000001</v>
      </c>
      <c r="N48" s="3">
        <v>1</v>
      </c>
      <c r="O48" s="3">
        <v>1</v>
      </c>
      <c r="P48" s="3">
        <v>1.0333299999999999E-4</v>
      </c>
      <c r="Q48" s="3">
        <v>1.2</v>
      </c>
      <c r="R48" s="3">
        <v>1.1000000000000001</v>
      </c>
      <c r="S48" s="3">
        <v>1.2</v>
      </c>
      <c r="T48" s="3">
        <v>1.16667E-4</v>
      </c>
      <c r="U48" s="3">
        <v>1.2</v>
      </c>
      <c r="V48" s="3">
        <v>1.2</v>
      </c>
      <c r="W48" s="3">
        <v>1.2</v>
      </c>
      <c r="X48" s="3">
        <v>1.2E-4</v>
      </c>
      <c r="Y48" s="3"/>
    </row>
    <row r="49" spans="1:25" x14ac:dyDescent="0.35">
      <c r="A49" s="3">
        <v>0.67</v>
      </c>
      <c r="B49" s="3">
        <v>0.03</v>
      </c>
      <c r="C49" s="3">
        <v>0.22</v>
      </c>
      <c r="D49" s="3">
        <v>1.98</v>
      </c>
      <c r="E49" s="3">
        <v>1</v>
      </c>
      <c r="F49" s="3">
        <v>1.1000000000000001</v>
      </c>
      <c r="G49" s="3">
        <v>1.1000000000000001</v>
      </c>
      <c r="H49" s="3">
        <v>1.07E-4</v>
      </c>
      <c r="I49" s="3">
        <v>1</v>
      </c>
      <c r="J49" s="3">
        <v>1</v>
      </c>
      <c r="K49" s="3">
        <v>1</v>
      </c>
      <c r="L49" s="3">
        <v>1E-4</v>
      </c>
      <c r="M49" s="3">
        <v>0.7</v>
      </c>
      <c r="N49" s="3">
        <v>1.2</v>
      </c>
      <c r="O49" s="3">
        <v>1</v>
      </c>
      <c r="P49" s="26">
        <v>9.6666699999999994E-5</v>
      </c>
      <c r="Q49" s="3">
        <v>1.1000000000000001</v>
      </c>
      <c r="R49" s="3">
        <v>1</v>
      </c>
      <c r="S49" s="3">
        <v>1</v>
      </c>
      <c r="T49" s="3">
        <v>1.0333299999999999E-4</v>
      </c>
      <c r="U49" s="3">
        <v>1.2</v>
      </c>
      <c r="V49" s="3">
        <v>1.1000000000000001</v>
      </c>
      <c r="W49" s="3">
        <v>1</v>
      </c>
      <c r="X49" s="3">
        <v>1.1E-4</v>
      </c>
      <c r="Y49" s="3"/>
    </row>
    <row r="50" spans="1:25" x14ac:dyDescent="0.35">
      <c r="A50" s="3">
        <v>0.6</v>
      </c>
      <c r="B50" s="3">
        <v>0.1</v>
      </c>
      <c r="C50" s="3">
        <v>0.28999999999999998</v>
      </c>
      <c r="D50" s="3">
        <v>1.91</v>
      </c>
      <c r="E50" s="3">
        <v>0.9</v>
      </c>
      <c r="F50" s="3">
        <v>1</v>
      </c>
      <c r="G50" s="3">
        <v>0.9</v>
      </c>
      <c r="H50" s="3">
        <v>9.2999999999999997E-5</v>
      </c>
      <c r="I50" s="3">
        <v>1</v>
      </c>
      <c r="J50" s="3">
        <v>1.1000000000000001</v>
      </c>
      <c r="K50" s="3">
        <v>1.1000000000000001</v>
      </c>
      <c r="L50" s="3">
        <v>1.06667E-4</v>
      </c>
      <c r="M50" s="3">
        <v>1.4</v>
      </c>
      <c r="N50" s="3">
        <v>1.5</v>
      </c>
      <c r="O50" s="3">
        <v>1.4</v>
      </c>
      <c r="P50" s="3">
        <v>1.4333299999999999E-4</v>
      </c>
      <c r="Q50" s="3">
        <v>1.3</v>
      </c>
      <c r="R50" s="3">
        <v>1.2</v>
      </c>
      <c r="S50" s="3">
        <v>1.2</v>
      </c>
      <c r="T50" s="3">
        <v>1.2333299999999999E-4</v>
      </c>
      <c r="U50" s="3">
        <v>1.4</v>
      </c>
      <c r="V50" s="3">
        <v>1.3</v>
      </c>
      <c r="W50" s="3">
        <v>1.1000000000000001</v>
      </c>
      <c r="X50" s="3">
        <v>1.2666700000000001E-4</v>
      </c>
      <c r="Y50" s="3"/>
    </row>
    <row r="51" spans="1:25" x14ac:dyDescent="0.35">
      <c r="A51" s="3">
        <v>0.68</v>
      </c>
      <c r="B51" s="3">
        <v>0.02</v>
      </c>
      <c r="C51" s="3">
        <v>0.15</v>
      </c>
      <c r="D51" s="3">
        <v>2.0499999999999998</v>
      </c>
      <c r="E51" s="3">
        <v>0.8</v>
      </c>
      <c r="F51" s="3">
        <v>1.1000000000000001</v>
      </c>
      <c r="G51" s="3">
        <v>1.2</v>
      </c>
      <c r="H51" s="3">
        <v>1.03E-4</v>
      </c>
      <c r="I51" s="3">
        <v>0.5</v>
      </c>
      <c r="J51" s="3">
        <v>0.4</v>
      </c>
      <c r="K51" s="3">
        <v>0.5</v>
      </c>
      <c r="L51" s="26">
        <v>4.6666699999999998E-5</v>
      </c>
      <c r="M51" s="3">
        <v>0.5</v>
      </c>
      <c r="N51" s="3">
        <v>0.5</v>
      </c>
      <c r="O51" s="3">
        <v>0.5</v>
      </c>
      <c r="P51" s="26">
        <v>5.0000000000000002E-5</v>
      </c>
      <c r="Q51" s="3">
        <v>0.5</v>
      </c>
      <c r="R51" s="3">
        <v>0.5</v>
      </c>
      <c r="S51" s="3">
        <v>0.4</v>
      </c>
      <c r="T51" s="26">
        <v>4.6666699999999998E-5</v>
      </c>
      <c r="U51" s="3">
        <v>0.6</v>
      </c>
      <c r="V51" s="3">
        <v>0.4</v>
      </c>
      <c r="W51" s="3">
        <v>0.5</v>
      </c>
      <c r="X51" s="26">
        <v>5.0000000000000002E-5</v>
      </c>
      <c r="Y51" s="3"/>
    </row>
    <row r="52" spans="1:25" x14ac:dyDescent="0.35">
      <c r="A52" s="3">
        <v>0.7</v>
      </c>
      <c r="B52" s="3">
        <v>0</v>
      </c>
      <c r="C52" s="3">
        <v>0.19</v>
      </c>
      <c r="D52" s="3">
        <v>2.0099999999999998</v>
      </c>
      <c r="E52" s="3">
        <v>0.8</v>
      </c>
      <c r="F52" s="3">
        <v>0.8</v>
      </c>
      <c r="G52" s="3">
        <v>0.8</v>
      </c>
      <c r="H52" s="3">
        <v>8.0000000000000007E-5</v>
      </c>
      <c r="I52" s="3">
        <v>0.3</v>
      </c>
      <c r="J52" s="3">
        <v>0.3</v>
      </c>
      <c r="K52" s="3">
        <v>0.3</v>
      </c>
      <c r="L52" s="26">
        <v>3.0000000000000001E-5</v>
      </c>
      <c r="M52" s="3">
        <v>0.4</v>
      </c>
      <c r="N52" s="3">
        <v>0.4</v>
      </c>
      <c r="O52" s="3">
        <v>0.4</v>
      </c>
      <c r="P52" s="26">
        <v>4.0000000000000003E-5</v>
      </c>
      <c r="Q52" s="3">
        <v>0.4</v>
      </c>
      <c r="R52" s="3">
        <v>0.3</v>
      </c>
      <c r="S52" s="3">
        <v>0.4</v>
      </c>
      <c r="T52" s="26">
        <v>3.6666699999999999E-5</v>
      </c>
      <c r="U52" s="3">
        <v>0.2</v>
      </c>
      <c r="V52" s="3">
        <v>0.4</v>
      </c>
      <c r="W52" s="3">
        <v>0.4</v>
      </c>
      <c r="X52" s="26">
        <v>3.3333300000000002E-5</v>
      </c>
      <c r="Y52" s="3"/>
    </row>
    <row r="53" spans="1:25" x14ac:dyDescent="0.35">
      <c r="A53" s="3">
        <v>0.69</v>
      </c>
      <c r="B53" s="3">
        <v>0.01</v>
      </c>
      <c r="C53" s="3">
        <v>0.15</v>
      </c>
      <c r="D53" s="3">
        <v>2.0499999999999998</v>
      </c>
      <c r="E53" s="3">
        <v>0.4</v>
      </c>
      <c r="F53" s="3">
        <v>0.4</v>
      </c>
      <c r="G53" s="3">
        <v>0.3</v>
      </c>
      <c r="H53" s="3">
        <v>3.6999999999999998E-5</v>
      </c>
      <c r="I53" s="3">
        <v>0.2</v>
      </c>
      <c r="J53" s="3">
        <v>0.3</v>
      </c>
      <c r="K53" s="3">
        <v>0.4</v>
      </c>
      <c r="L53" s="3">
        <v>3.0000000000000001E-5</v>
      </c>
      <c r="M53" s="3">
        <v>0.2</v>
      </c>
      <c r="N53" s="3">
        <v>0.2</v>
      </c>
      <c r="O53" s="3">
        <v>0.3</v>
      </c>
      <c r="P53" s="26">
        <v>2.3333299999999999E-5</v>
      </c>
      <c r="Q53" s="3">
        <v>0.3</v>
      </c>
      <c r="R53" s="3">
        <v>0.3</v>
      </c>
      <c r="S53" s="3">
        <v>0.3</v>
      </c>
      <c r="T53" s="3">
        <v>3.0000000000000001E-5</v>
      </c>
      <c r="U53" s="3">
        <v>0</v>
      </c>
      <c r="V53" s="3">
        <v>0.2</v>
      </c>
      <c r="W53" s="3">
        <v>0.3</v>
      </c>
      <c r="X53" s="26">
        <v>1.6666700000000001E-5</v>
      </c>
      <c r="Y53" s="3"/>
    </row>
    <row r="54" spans="1:25" x14ac:dyDescent="0.35">
      <c r="A54" s="3">
        <v>0.57999999999999996</v>
      </c>
      <c r="B54" s="3">
        <v>0.12</v>
      </c>
      <c r="C54" s="3">
        <v>0.12</v>
      </c>
      <c r="D54" s="3">
        <v>2.08</v>
      </c>
      <c r="E54" s="3">
        <v>0.7</v>
      </c>
      <c r="F54" s="3">
        <v>1</v>
      </c>
      <c r="G54" s="3">
        <v>1</v>
      </c>
      <c r="H54" s="3">
        <v>9.0000000000000006E-5</v>
      </c>
      <c r="I54" s="3">
        <v>1.1000000000000001</v>
      </c>
      <c r="J54" s="3">
        <v>1</v>
      </c>
      <c r="K54" s="3">
        <v>1.2</v>
      </c>
      <c r="L54" s="3">
        <v>1.1E-4</v>
      </c>
      <c r="M54" s="3">
        <v>1.1000000000000001</v>
      </c>
      <c r="N54" s="3">
        <v>1.2</v>
      </c>
      <c r="O54" s="3">
        <v>1.2</v>
      </c>
      <c r="P54" s="3">
        <v>1.16667E-4</v>
      </c>
      <c r="Q54" s="3">
        <v>1</v>
      </c>
      <c r="R54" s="3">
        <v>1</v>
      </c>
      <c r="S54" s="3">
        <v>1</v>
      </c>
      <c r="T54" s="3">
        <v>1E-4</v>
      </c>
      <c r="U54" s="3">
        <v>1</v>
      </c>
      <c r="V54" s="3">
        <v>1</v>
      </c>
      <c r="W54" s="3">
        <v>1</v>
      </c>
      <c r="X54" s="3">
        <v>1E-4</v>
      </c>
      <c r="Y54" s="3"/>
    </row>
    <row r="55" spans="1:25" x14ac:dyDescent="0.35">
      <c r="A55" s="3">
        <v>0.67</v>
      </c>
      <c r="B55" s="3">
        <v>0.03</v>
      </c>
      <c r="C55" s="3">
        <v>0.11</v>
      </c>
      <c r="D55" s="3">
        <v>2.09</v>
      </c>
      <c r="E55" s="3">
        <v>0.6</v>
      </c>
      <c r="F55" s="3">
        <v>0.6</v>
      </c>
      <c r="G55" s="3">
        <v>0.6</v>
      </c>
      <c r="H55" s="3">
        <v>6.0000000000000002E-5</v>
      </c>
      <c r="I55" s="3">
        <v>0.6</v>
      </c>
      <c r="J55" s="3">
        <v>0.7</v>
      </c>
      <c r="K55" s="3">
        <v>0.9</v>
      </c>
      <c r="L55" s="26">
        <v>7.3333300000000005E-5</v>
      </c>
      <c r="M55" s="3">
        <v>0.7</v>
      </c>
      <c r="N55" s="3">
        <v>0.7</v>
      </c>
      <c r="O55" s="3">
        <v>0.6</v>
      </c>
      <c r="P55" s="26">
        <v>6.6666699999999996E-5</v>
      </c>
      <c r="Q55" s="3">
        <v>0.7</v>
      </c>
      <c r="R55" s="3">
        <v>0.6</v>
      </c>
      <c r="S55" s="3">
        <v>0.7</v>
      </c>
      <c r="T55" s="26">
        <v>6.6666699999999996E-5</v>
      </c>
      <c r="U55" s="3">
        <v>0.7</v>
      </c>
      <c r="V55" s="3">
        <v>0.7</v>
      </c>
      <c r="W55" s="3">
        <v>0.6</v>
      </c>
      <c r="X55" s="26">
        <v>6.6666699999999996E-5</v>
      </c>
      <c r="Y55" s="3"/>
    </row>
    <row r="56" spans="1:25" x14ac:dyDescent="0.35">
      <c r="A56" s="3">
        <v>0.61</v>
      </c>
      <c r="B56" s="3">
        <v>0.09</v>
      </c>
      <c r="C56" s="3">
        <v>0.18</v>
      </c>
      <c r="D56" s="3">
        <v>2.02</v>
      </c>
      <c r="E56" s="3">
        <v>0.5</v>
      </c>
      <c r="F56" s="3">
        <v>0.4</v>
      </c>
      <c r="G56" s="3">
        <v>0.5</v>
      </c>
      <c r="H56" s="3">
        <v>4.6999999999999997E-5</v>
      </c>
      <c r="I56" s="3">
        <v>0.6</v>
      </c>
      <c r="J56" s="3">
        <v>0.8</v>
      </c>
      <c r="K56" s="3">
        <v>0.9</v>
      </c>
      <c r="L56" s="26">
        <v>7.6666699999999996E-5</v>
      </c>
      <c r="M56" s="3">
        <v>1</v>
      </c>
      <c r="N56" s="3">
        <v>0.9</v>
      </c>
      <c r="O56" s="3">
        <v>1</v>
      </c>
      <c r="P56" s="26">
        <v>9.6666699999999994E-5</v>
      </c>
      <c r="Q56" s="3">
        <v>0.9</v>
      </c>
      <c r="R56" s="3">
        <v>0.9</v>
      </c>
      <c r="S56" s="3">
        <v>1</v>
      </c>
      <c r="T56" s="26">
        <v>9.3333300000000003E-5</v>
      </c>
      <c r="U56" s="3">
        <v>0.8</v>
      </c>
      <c r="V56" s="3">
        <v>0.7</v>
      </c>
      <c r="W56" s="3">
        <v>0.9</v>
      </c>
      <c r="X56" s="3">
        <v>8.0000000000000007E-5</v>
      </c>
      <c r="Y56" s="3"/>
    </row>
    <row r="57" spans="1:25" x14ac:dyDescent="0.35">
      <c r="A57" s="3">
        <v>0.65</v>
      </c>
      <c r="B57" s="3">
        <v>0.05</v>
      </c>
      <c r="C57" s="3">
        <v>0.23</v>
      </c>
      <c r="D57" s="3">
        <v>1.97</v>
      </c>
      <c r="E57" s="3">
        <v>0.8</v>
      </c>
      <c r="F57" s="3">
        <v>0.8</v>
      </c>
      <c r="G57" s="3">
        <v>1</v>
      </c>
      <c r="H57" s="3">
        <v>8.7000000000000001E-5</v>
      </c>
      <c r="I57" s="3">
        <v>0.8</v>
      </c>
      <c r="J57" s="3">
        <v>1</v>
      </c>
      <c r="K57" s="3">
        <v>1</v>
      </c>
      <c r="L57" s="26">
        <v>9.3333300000000003E-5</v>
      </c>
      <c r="M57" s="3">
        <v>1</v>
      </c>
      <c r="N57" s="3">
        <v>1</v>
      </c>
      <c r="O57" s="3">
        <v>1</v>
      </c>
      <c r="P57" s="3">
        <v>1E-4</v>
      </c>
      <c r="Q57" s="3">
        <v>1.1000000000000001</v>
      </c>
      <c r="R57" s="3">
        <v>1.1000000000000001</v>
      </c>
      <c r="S57" s="3">
        <v>1</v>
      </c>
      <c r="T57" s="3">
        <v>1.06667E-4</v>
      </c>
      <c r="U57" s="3">
        <v>1</v>
      </c>
      <c r="V57" s="3">
        <v>0.9</v>
      </c>
      <c r="W57" s="3">
        <v>0.8</v>
      </c>
      <c r="X57" s="3">
        <v>9.0000000000000006E-5</v>
      </c>
      <c r="Y57" s="3"/>
    </row>
    <row r="58" spans="1:25" x14ac:dyDescent="0.35">
      <c r="A58" s="3">
        <v>0.68</v>
      </c>
      <c r="B58" s="3">
        <v>0.02</v>
      </c>
      <c r="C58" s="3">
        <v>0.22</v>
      </c>
      <c r="D58" s="3">
        <v>1.98</v>
      </c>
      <c r="E58" s="3">
        <v>1</v>
      </c>
      <c r="F58" s="3">
        <v>1.1000000000000001</v>
      </c>
      <c r="G58" s="3">
        <v>1.2</v>
      </c>
      <c r="H58" s="3">
        <v>1.1E-4</v>
      </c>
      <c r="I58" s="3">
        <v>1</v>
      </c>
      <c r="J58" s="3">
        <v>0.9</v>
      </c>
      <c r="K58" s="3">
        <v>1</v>
      </c>
      <c r="L58" s="26">
        <v>9.6666699999999994E-5</v>
      </c>
      <c r="M58" s="3">
        <v>0.9</v>
      </c>
      <c r="N58" s="3">
        <v>1</v>
      </c>
      <c r="O58" s="3">
        <v>0.9</v>
      </c>
      <c r="P58" s="26">
        <v>9.3333300000000003E-5</v>
      </c>
      <c r="Q58" s="3">
        <v>0.9</v>
      </c>
      <c r="R58" s="3">
        <v>0.9</v>
      </c>
      <c r="S58" s="3">
        <v>0.9</v>
      </c>
      <c r="T58" s="3">
        <v>9.0000000000000006E-5</v>
      </c>
      <c r="U58" s="3">
        <v>0.9</v>
      </c>
      <c r="V58" s="3">
        <v>1</v>
      </c>
      <c r="W58" s="3">
        <v>1</v>
      </c>
      <c r="X58" s="26">
        <v>9.6666699999999994E-5</v>
      </c>
      <c r="Y58" s="3"/>
    </row>
    <row r="59" spans="1:25" x14ac:dyDescent="0.35">
      <c r="A59" s="3">
        <v>0.56000000000000005</v>
      </c>
      <c r="B59" s="3">
        <v>0.14000000000000001</v>
      </c>
      <c r="C59" s="3">
        <v>0.25</v>
      </c>
      <c r="D59" s="3">
        <v>1.95</v>
      </c>
      <c r="E59" s="3">
        <v>1</v>
      </c>
      <c r="F59" s="3">
        <v>1</v>
      </c>
      <c r="G59" s="3">
        <v>1</v>
      </c>
      <c r="H59" s="3">
        <v>1E-4</v>
      </c>
      <c r="I59" s="3">
        <v>1.3</v>
      </c>
      <c r="J59" s="3">
        <v>1.5</v>
      </c>
      <c r="K59" s="3">
        <v>1.4</v>
      </c>
      <c r="L59" s="3">
        <v>1.3999999999999999E-4</v>
      </c>
      <c r="M59" s="3">
        <v>1</v>
      </c>
      <c r="N59" s="3">
        <v>2</v>
      </c>
      <c r="O59" s="3">
        <v>1.4</v>
      </c>
      <c r="P59" s="3">
        <v>1.4666700000000001E-4</v>
      </c>
      <c r="Q59" s="3">
        <v>1.5</v>
      </c>
      <c r="R59" s="3">
        <v>1.4</v>
      </c>
      <c r="S59" s="3">
        <v>1.5</v>
      </c>
      <c r="T59" s="3">
        <v>1.4666700000000001E-4</v>
      </c>
      <c r="U59" s="3">
        <v>1.3</v>
      </c>
      <c r="V59" s="3">
        <v>1.4</v>
      </c>
      <c r="W59" s="3">
        <v>1.4</v>
      </c>
      <c r="X59" s="3">
        <v>1.3666700000000001E-4</v>
      </c>
      <c r="Y59" s="3"/>
    </row>
    <row r="60" spans="1:25" x14ac:dyDescent="0.35">
      <c r="A60" s="3">
        <v>0.59</v>
      </c>
      <c r="B60" s="3">
        <v>0.11</v>
      </c>
      <c r="C60" s="3">
        <v>0.26</v>
      </c>
      <c r="D60" s="3">
        <v>1.94</v>
      </c>
      <c r="E60" s="3">
        <v>1.5</v>
      </c>
      <c r="F60" s="3">
        <v>1.5</v>
      </c>
      <c r="G60" s="3">
        <v>1.4</v>
      </c>
      <c r="H60" s="3">
        <v>1.47E-4</v>
      </c>
      <c r="I60" s="3">
        <v>1.6</v>
      </c>
      <c r="J60" s="3">
        <v>1.6</v>
      </c>
      <c r="K60" s="3">
        <v>1.5</v>
      </c>
      <c r="L60" s="3">
        <v>1.5666700000000001E-4</v>
      </c>
      <c r="M60" s="3">
        <v>1.5</v>
      </c>
      <c r="N60" s="3">
        <v>1.4</v>
      </c>
      <c r="O60" s="3">
        <v>1.4</v>
      </c>
      <c r="P60" s="3">
        <v>1.4333299999999999E-4</v>
      </c>
      <c r="Q60" s="3">
        <v>1.3</v>
      </c>
      <c r="R60" s="3">
        <v>1.5</v>
      </c>
      <c r="S60" s="3">
        <v>1.4</v>
      </c>
      <c r="T60" s="3">
        <v>1.3999999999999999E-4</v>
      </c>
      <c r="U60" s="3">
        <v>1.3</v>
      </c>
      <c r="V60" s="3">
        <v>1.4</v>
      </c>
      <c r="W60" s="3">
        <v>1.4</v>
      </c>
      <c r="X60" s="3">
        <v>1.3666700000000001E-4</v>
      </c>
      <c r="Y60" s="3"/>
    </row>
    <row r="61" spans="1:25" x14ac:dyDescent="0.35">
      <c r="A61" s="3">
        <v>0.53</v>
      </c>
      <c r="B61" s="3">
        <v>0.17</v>
      </c>
      <c r="C61" s="3">
        <v>0.14000000000000001</v>
      </c>
      <c r="D61" s="3">
        <v>2.06</v>
      </c>
      <c r="E61" s="3">
        <v>1.2</v>
      </c>
      <c r="F61" s="3">
        <v>1.4</v>
      </c>
      <c r="G61" s="3">
        <v>1.3</v>
      </c>
      <c r="H61" s="3">
        <v>1.2999999999999999E-4</v>
      </c>
      <c r="I61" s="3">
        <v>0.8</v>
      </c>
      <c r="J61" s="3">
        <v>0.9</v>
      </c>
      <c r="K61" s="3">
        <v>0.8</v>
      </c>
      <c r="L61" s="26">
        <v>8.3333300000000004E-5</v>
      </c>
      <c r="M61" s="3">
        <v>1.1000000000000001</v>
      </c>
      <c r="N61" s="3">
        <v>0.8</v>
      </c>
      <c r="O61" s="3">
        <v>0.8</v>
      </c>
      <c r="P61" s="26">
        <v>9.0000000000000006E-5</v>
      </c>
      <c r="Q61" s="3">
        <v>0.8</v>
      </c>
      <c r="R61" s="3">
        <v>0.8</v>
      </c>
      <c r="S61" s="3">
        <v>1</v>
      </c>
      <c r="T61" s="26">
        <v>8.6666699999999995E-5</v>
      </c>
      <c r="U61" s="3">
        <v>1</v>
      </c>
      <c r="V61" s="3">
        <v>0.8</v>
      </c>
      <c r="W61" s="3">
        <v>0.9</v>
      </c>
      <c r="X61" s="26">
        <v>9.0000000000000006E-5</v>
      </c>
      <c r="Y61" s="3"/>
    </row>
    <row r="62" spans="1:25" x14ac:dyDescent="0.35">
      <c r="A62" s="3">
        <v>0.64</v>
      </c>
      <c r="B62" s="3">
        <v>0.06</v>
      </c>
      <c r="C62" s="3">
        <v>0.27</v>
      </c>
      <c r="D62" s="3">
        <v>1.93</v>
      </c>
      <c r="E62" s="3">
        <v>0.7</v>
      </c>
      <c r="F62" s="3">
        <v>0.7</v>
      </c>
      <c r="G62" s="3">
        <v>0.7</v>
      </c>
      <c r="H62" s="3">
        <v>6.9999999999999994E-5</v>
      </c>
      <c r="I62" s="3">
        <v>1.1000000000000001</v>
      </c>
      <c r="J62" s="3">
        <v>1</v>
      </c>
      <c r="K62" s="3">
        <v>1.1000000000000001</v>
      </c>
      <c r="L62" s="3">
        <v>1.06667E-4</v>
      </c>
      <c r="M62" s="3">
        <v>1.2</v>
      </c>
      <c r="N62" s="3">
        <v>1.1000000000000001</v>
      </c>
      <c r="O62" s="3">
        <v>1.1000000000000001</v>
      </c>
      <c r="P62" s="3">
        <v>1.1333299999999999E-4</v>
      </c>
      <c r="Q62" s="3">
        <v>1</v>
      </c>
      <c r="R62" s="3">
        <v>1</v>
      </c>
      <c r="S62" s="3">
        <v>1.1000000000000001</v>
      </c>
      <c r="T62" s="3">
        <v>1.0333299999999999E-4</v>
      </c>
      <c r="U62" s="3">
        <v>1.2</v>
      </c>
      <c r="V62" s="3">
        <v>1</v>
      </c>
      <c r="W62" s="3">
        <v>1.1000000000000001</v>
      </c>
      <c r="X62" s="3">
        <v>1.1E-4</v>
      </c>
      <c r="Y62" s="3"/>
    </row>
    <row r="63" spans="1:25" x14ac:dyDescent="0.35">
      <c r="A63" s="3">
        <v>0.65</v>
      </c>
      <c r="B63" s="3">
        <v>0.05</v>
      </c>
      <c r="C63" s="3">
        <v>0.16</v>
      </c>
      <c r="D63" s="3">
        <v>2.04</v>
      </c>
      <c r="E63" s="3">
        <v>1.2</v>
      </c>
      <c r="F63" s="3">
        <v>1</v>
      </c>
      <c r="G63" s="3">
        <v>1.2</v>
      </c>
      <c r="H63" s="3">
        <v>1.13E-4</v>
      </c>
      <c r="I63" s="3">
        <v>0.7</v>
      </c>
      <c r="J63" s="3">
        <v>0.8</v>
      </c>
      <c r="K63" s="3">
        <v>0.7</v>
      </c>
      <c r="L63" s="26">
        <v>7.3333300000000005E-5</v>
      </c>
      <c r="M63" s="3">
        <v>0.8</v>
      </c>
      <c r="N63" s="3">
        <v>0.8</v>
      </c>
      <c r="O63" s="3">
        <v>0.7</v>
      </c>
      <c r="P63" s="26">
        <v>7.6666699999999996E-5</v>
      </c>
      <c r="Q63" s="3">
        <v>0.9</v>
      </c>
      <c r="R63" s="3">
        <v>0.9</v>
      </c>
      <c r="S63" s="3">
        <v>0.8</v>
      </c>
      <c r="T63" s="26">
        <v>8.6666699999999995E-5</v>
      </c>
      <c r="U63" s="3">
        <v>0.9</v>
      </c>
      <c r="V63" s="3">
        <v>0.8</v>
      </c>
      <c r="W63" s="3">
        <v>0.9</v>
      </c>
      <c r="X63" s="26">
        <v>8.6666699999999995E-5</v>
      </c>
      <c r="Y63" s="3"/>
    </row>
    <row r="64" spans="1:25" x14ac:dyDescent="0.35">
      <c r="A64" s="3">
        <v>0.52</v>
      </c>
      <c r="B64" s="3">
        <v>0.18</v>
      </c>
      <c r="C64" s="3">
        <v>0.24</v>
      </c>
      <c r="D64" s="3">
        <v>1.96</v>
      </c>
      <c r="E64" s="3">
        <v>0.7</v>
      </c>
      <c r="F64" s="3">
        <v>0.8</v>
      </c>
      <c r="G64" s="3">
        <v>0.7</v>
      </c>
      <c r="H64" s="3">
        <v>7.2999999999999999E-5</v>
      </c>
      <c r="I64" s="3">
        <v>1.2</v>
      </c>
      <c r="J64" s="3">
        <v>1.4</v>
      </c>
      <c r="K64" s="3">
        <v>1.2</v>
      </c>
      <c r="L64" s="3">
        <v>1.2666700000000001E-4</v>
      </c>
      <c r="M64" s="3">
        <v>1</v>
      </c>
      <c r="N64" s="3">
        <v>1.2</v>
      </c>
      <c r="O64" s="3">
        <v>1.2</v>
      </c>
      <c r="P64" s="3">
        <v>1.1333299999999999E-4</v>
      </c>
      <c r="Q64" s="3">
        <v>1.2</v>
      </c>
      <c r="R64" s="3">
        <v>1.3</v>
      </c>
      <c r="S64" s="3">
        <v>1.4</v>
      </c>
      <c r="T64" s="3">
        <v>1.2999999999999999E-4</v>
      </c>
      <c r="U64" s="3">
        <v>1.4</v>
      </c>
      <c r="V64" s="3">
        <v>1.2</v>
      </c>
      <c r="W64" s="3">
        <v>1.4</v>
      </c>
      <c r="X64" s="3">
        <v>1.3333299999999999E-4</v>
      </c>
      <c r="Y64" s="3"/>
    </row>
    <row r="65" spans="1:25" x14ac:dyDescent="0.35">
      <c r="A65" s="3">
        <v>0.55000000000000004</v>
      </c>
      <c r="B65" s="3">
        <v>0.15</v>
      </c>
      <c r="C65" s="3">
        <v>0.13</v>
      </c>
      <c r="D65" s="3">
        <v>2.0699999999999998</v>
      </c>
      <c r="E65" s="3">
        <v>1.3</v>
      </c>
      <c r="F65" s="3">
        <v>1.5</v>
      </c>
      <c r="G65" s="3">
        <v>1.5</v>
      </c>
      <c r="H65" s="3">
        <v>1.4300000000000001E-4</v>
      </c>
      <c r="I65" s="3">
        <v>1</v>
      </c>
      <c r="J65" s="3">
        <v>0.9</v>
      </c>
      <c r="K65" s="3">
        <v>0.9</v>
      </c>
      <c r="L65" s="26">
        <v>9.3333300000000003E-5</v>
      </c>
      <c r="M65" s="3">
        <v>1</v>
      </c>
      <c r="N65" s="3">
        <v>1</v>
      </c>
      <c r="O65" s="3">
        <v>0.8</v>
      </c>
      <c r="P65" s="26">
        <v>9.3333300000000003E-5</v>
      </c>
      <c r="Q65" s="3">
        <v>0.8</v>
      </c>
      <c r="R65" s="3">
        <v>0.9</v>
      </c>
      <c r="S65" s="3">
        <v>0.8</v>
      </c>
      <c r="T65" s="26">
        <v>8.3333300000000004E-5</v>
      </c>
      <c r="U65" s="3">
        <v>1</v>
      </c>
      <c r="V65" s="3">
        <v>0.9</v>
      </c>
      <c r="W65" s="3">
        <v>0.7</v>
      </c>
      <c r="X65" s="26">
        <v>8.6666699999999995E-5</v>
      </c>
      <c r="Y65" s="3"/>
    </row>
    <row r="66" spans="1:25" x14ac:dyDescent="0.35">
      <c r="A66" s="3">
        <v>0.52</v>
      </c>
      <c r="B66" s="3">
        <v>0.18</v>
      </c>
      <c r="C66" s="3">
        <v>0.28000000000000003</v>
      </c>
      <c r="D66" s="3">
        <v>1.92</v>
      </c>
      <c r="E66" s="3">
        <v>0.8</v>
      </c>
      <c r="F66" s="3">
        <v>1.2</v>
      </c>
      <c r="G66" s="3">
        <v>0.7</v>
      </c>
      <c r="H66" s="3">
        <v>9.0000000000000006E-5</v>
      </c>
      <c r="I66" s="3">
        <v>1.6</v>
      </c>
      <c r="J66" s="3">
        <v>1.7</v>
      </c>
      <c r="K66" s="3">
        <v>1.6</v>
      </c>
      <c r="L66" s="3">
        <v>1.6333299999999999E-4</v>
      </c>
      <c r="M66" s="3">
        <v>1.6</v>
      </c>
      <c r="N66" s="3">
        <v>1.8</v>
      </c>
      <c r="O66" s="3">
        <v>1.6</v>
      </c>
      <c r="P66" s="3">
        <v>1.6666700000000001E-4</v>
      </c>
      <c r="Q66" s="3">
        <v>1.8</v>
      </c>
      <c r="R66" s="3">
        <v>1.2</v>
      </c>
      <c r="S66" s="3">
        <v>1.7</v>
      </c>
      <c r="T66" s="3">
        <v>1.5666700000000001E-4</v>
      </c>
      <c r="U66" s="3">
        <v>1.6</v>
      </c>
      <c r="V66" s="3">
        <v>1.7</v>
      </c>
      <c r="W66" s="3">
        <v>1.5</v>
      </c>
      <c r="X66" s="3">
        <v>1.6000000000000001E-4</v>
      </c>
      <c r="Y66" s="3"/>
    </row>
    <row r="67" spans="1:25" x14ac:dyDescent="0.35">
      <c r="A67" s="3">
        <v>0.63</v>
      </c>
      <c r="B67" s="3">
        <v>7.0000000000000007E-2</v>
      </c>
      <c r="C67" s="3">
        <v>0.21</v>
      </c>
      <c r="D67" s="3">
        <v>1.99</v>
      </c>
      <c r="E67" s="3">
        <v>1.6</v>
      </c>
      <c r="F67" s="3">
        <v>1.5</v>
      </c>
      <c r="G67" s="3">
        <v>1.3</v>
      </c>
      <c r="H67" s="3">
        <v>1.47E-4</v>
      </c>
      <c r="I67" s="3">
        <v>0.9</v>
      </c>
      <c r="J67" s="3">
        <v>0.9</v>
      </c>
      <c r="K67" s="3">
        <v>1</v>
      </c>
      <c r="L67" s="26">
        <v>9.3333300000000003E-5</v>
      </c>
      <c r="M67" s="3">
        <v>1.1000000000000001</v>
      </c>
      <c r="N67" s="3">
        <v>1.1000000000000001</v>
      </c>
      <c r="O67" s="3">
        <v>1</v>
      </c>
      <c r="P67" s="3">
        <v>1.06667E-4</v>
      </c>
      <c r="Q67" s="3">
        <v>1</v>
      </c>
      <c r="R67" s="3">
        <v>1</v>
      </c>
      <c r="S67" s="3">
        <v>1.1000000000000001</v>
      </c>
      <c r="T67" s="3">
        <v>1.0333299999999999E-4</v>
      </c>
      <c r="U67" s="3">
        <v>0.9</v>
      </c>
      <c r="V67" s="3">
        <v>0.9</v>
      </c>
      <c r="W67" s="3">
        <v>1</v>
      </c>
      <c r="X67" s="26">
        <v>9.3333300000000003E-5</v>
      </c>
      <c r="Y67" s="3"/>
    </row>
    <row r="68" spans="1:25" x14ac:dyDescent="0.35">
      <c r="A68" s="3">
        <v>0.56999999999999995</v>
      </c>
      <c r="B68" s="3">
        <v>0.13</v>
      </c>
      <c r="C68" s="3">
        <v>0.27</v>
      </c>
      <c r="D68" s="3">
        <v>1.93</v>
      </c>
      <c r="E68" s="3">
        <v>1.2</v>
      </c>
      <c r="F68" s="3">
        <v>0.9</v>
      </c>
      <c r="G68" s="3">
        <v>1</v>
      </c>
      <c r="H68" s="3">
        <v>1.03E-4</v>
      </c>
      <c r="I68" s="3">
        <v>1.3</v>
      </c>
      <c r="J68" s="3">
        <v>1.3</v>
      </c>
      <c r="K68" s="3">
        <v>1.4</v>
      </c>
      <c r="L68" s="3">
        <v>1.3333299999999999E-4</v>
      </c>
      <c r="M68" s="3">
        <v>1.6</v>
      </c>
      <c r="N68" s="3">
        <v>1.2</v>
      </c>
      <c r="O68" s="3">
        <v>1.4</v>
      </c>
      <c r="P68" s="3">
        <v>1.3999999999999999E-4</v>
      </c>
      <c r="Q68" s="3">
        <v>1.5</v>
      </c>
      <c r="R68" s="3">
        <v>1.1000000000000001</v>
      </c>
      <c r="S68" s="3">
        <v>1.4</v>
      </c>
      <c r="T68" s="3">
        <v>1.3333299999999999E-4</v>
      </c>
      <c r="U68" s="3">
        <v>1.5</v>
      </c>
      <c r="V68" s="3">
        <v>1.3</v>
      </c>
      <c r="W68" s="3">
        <v>1.4</v>
      </c>
      <c r="X68" s="3">
        <v>1.3999999999999999E-4</v>
      </c>
      <c r="Y68" s="3"/>
    </row>
    <row r="69" spans="1:25" x14ac:dyDescent="0.35">
      <c r="A69" s="3">
        <v>0.63</v>
      </c>
      <c r="B69" s="3">
        <v>7.0000000000000007E-2</v>
      </c>
      <c r="C69" s="3">
        <v>0.2</v>
      </c>
      <c r="D69" s="3">
        <v>2</v>
      </c>
      <c r="E69" s="3">
        <v>1.5</v>
      </c>
      <c r="F69" s="3">
        <v>1.4</v>
      </c>
      <c r="G69" s="3">
        <v>1.2</v>
      </c>
      <c r="H69" s="3">
        <v>1.37E-4</v>
      </c>
      <c r="I69" s="3">
        <v>0.9</v>
      </c>
      <c r="J69" s="3">
        <v>0.9</v>
      </c>
      <c r="K69" s="3">
        <v>0.9</v>
      </c>
      <c r="L69" s="3">
        <v>9.0000000000000006E-5</v>
      </c>
      <c r="M69" s="3">
        <v>0.9</v>
      </c>
      <c r="N69" s="3">
        <v>0.7</v>
      </c>
      <c r="O69" s="3">
        <v>0.8</v>
      </c>
      <c r="P69" s="3">
        <v>8.0000000000000007E-5</v>
      </c>
      <c r="Q69" s="3">
        <v>0.9</v>
      </c>
      <c r="R69" s="3">
        <v>1</v>
      </c>
      <c r="S69" s="3">
        <v>0.9</v>
      </c>
      <c r="T69" s="26">
        <v>9.3333300000000003E-5</v>
      </c>
      <c r="U69" s="3">
        <v>0.8</v>
      </c>
      <c r="V69" s="3">
        <v>0.8</v>
      </c>
      <c r="W69" s="3">
        <v>0.8</v>
      </c>
      <c r="X69" s="3">
        <v>8.0000000000000007E-5</v>
      </c>
      <c r="Y69" s="3" t="s">
        <v>32</v>
      </c>
    </row>
    <row r="70" spans="1:2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26" x14ac:dyDescent="0.6">
      <c r="A71" s="27" t="s">
        <v>33</v>
      </c>
      <c r="B71" s="6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43.5" x14ac:dyDescent="0.35">
      <c r="A72" s="1" t="s">
        <v>0</v>
      </c>
      <c r="B72" s="1" t="s">
        <v>1</v>
      </c>
      <c r="C72" s="1" t="s">
        <v>2</v>
      </c>
      <c r="D72" s="2" t="s">
        <v>3</v>
      </c>
      <c r="E72" s="28" t="s">
        <v>34</v>
      </c>
      <c r="F72" s="28" t="s">
        <v>35</v>
      </c>
      <c r="G72" s="28" t="s">
        <v>36</v>
      </c>
      <c r="H72" s="28" t="s">
        <v>37</v>
      </c>
      <c r="I72" s="28" t="s">
        <v>38</v>
      </c>
      <c r="J72" s="28" t="s">
        <v>39</v>
      </c>
      <c r="K72" s="3"/>
      <c r="L72" s="28" t="s">
        <v>40</v>
      </c>
      <c r="M72" s="28" t="s">
        <v>41</v>
      </c>
      <c r="N72" s="28" t="s">
        <v>42</v>
      </c>
      <c r="O72" s="28" t="s">
        <v>43</v>
      </c>
      <c r="P72" s="28" t="s">
        <v>44</v>
      </c>
      <c r="Q72" s="3"/>
      <c r="R72" s="29" t="s">
        <v>45</v>
      </c>
      <c r="S72" s="29" t="s">
        <v>46</v>
      </c>
      <c r="T72" s="29" t="s">
        <v>47</v>
      </c>
      <c r="U72" s="29" t="s">
        <v>48</v>
      </c>
      <c r="V72" s="29" t="s">
        <v>49</v>
      </c>
      <c r="W72" s="3"/>
      <c r="X72" s="3"/>
      <c r="Y72" s="3"/>
    </row>
    <row r="73" spans="1:25" x14ac:dyDescent="0.35">
      <c r="A73" s="4"/>
      <c r="B73" s="4"/>
      <c r="C73" s="4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5"/>
      <c r="S73" s="5"/>
      <c r="T73" s="5"/>
      <c r="U73" s="5"/>
      <c r="V73" s="5"/>
      <c r="W73" s="3"/>
      <c r="X73" s="3"/>
      <c r="Y73" s="3"/>
    </row>
    <row r="74" spans="1:25" x14ac:dyDescent="0.35">
      <c r="A74" s="3">
        <v>0.6</v>
      </c>
      <c r="B74" s="3">
        <v>0.1</v>
      </c>
      <c r="C74" s="3">
        <v>0.18</v>
      </c>
      <c r="D74" s="3">
        <v>2.02</v>
      </c>
      <c r="E74" s="3">
        <v>-1.0000000000000001E-5</v>
      </c>
      <c r="F74" s="3">
        <v>2.1333300000000001E-4</v>
      </c>
      <c r="G74" s="3">
        <v>2.1000000000000001E-4</v>
      </c>
      <c r="H74" s="3">
        <v>1.9699999999999999E-4</v>
      </c>
      <c r="I74" s="3">
        <v>1.9666700000000001E-4</v>
      </c>
      <c r="J74" s="3">
        <v>-1E-3</v>
      </c>
      <c r="K74" s="3"/>
      <c r="L74" s="26">
        <v>-1.8000300000000001E-5</v>
      </c>
      <c r="M74" s="3">
        <v>3.8385300000000003E-4</v>
      </c>
      <c r="N74" s="3">
        <v>3.77857E-4</v>
      </c>
      <c r="O74" s="3">
        <v>3.5387500000000002E-4</v>
      </c>
      <c r="P74" s="3">
        <v>3.5387500000000002E-4</v>
      </c>
      <c r="Q74" s="3"/>
      <c r="R74" s="5">
        <v>-1.8E-5</v>
      </c>
      <c r="S74" s="5">
        <v>3.8400000000000001E-4</v>
      </c>
      <c r="T74" s="5">
        <v>3.7800000000000003E-4</v>
      </c>
      <c r="U74" s="5">
        <v>3.5399999999999999E-4</v>
      </c>
      <c r="V74" s="5">
        <v>3.5399999999999999E-4</v>
      </c>
      <c r="W74" s="3"/>
      <c r="X74" s="3"/>
      <c r="Y74" s="3"/>
    </row>
    <row r="75" spans="1:25" x14ac:dyDescent="0.35">
      <c r="A75" s="30">
        <v>0.62</v>
      </c>
      <c r="B75" s="30">
        <v>0.08</v>
      </c>
      <c r="C75" s="30">
        <v>0.3</v>
      </c>
      <c r="D75" s="30">
        <v>1.9</v>
      </c>
      <c r="E75" s="30">
        <v>1.9699999999999999E-4</v>
      </c>
      <c r="F75" s="31">
        <v>4.6666699999999998E-5</v>
      </c>
      <c r="G75" s="31">
        <v>6.3333300000000006E-5</v>
      </c>
      <c r="H75" s="30">
        <v>5.3000000000000001E-5</v>
      </c>
      <c r="I75" s="31">
        <v>9.0000000000000006E-5</v>
      </c>
      <c r="J75" s="30">
        <v>1.9666666999999999E-2</v>
      </c>
      <c r="K75" s="3"/>
      <c r="L75" s="30">
        <v>3.5387500000000002E-4</v>
      </c>
      <c r="M75" s="31">
        <v>8.39929E-5</v>
      </c>
      <c r="N75" s="30">
        <v>1.13987E-4</v>
      </c>
      <c r="O75" s="31">
        <v>9.5990799999999996E-5</v>
      </c>
      <c r="P75" s="30">
        <v>1.61974E-4</v>
      </c>
      <c r="Q75" s="3"/>
      <c r="R75" s="5">
        <v>3.5399999999999999E-4</v>
      </c>
      <c r="S75" s="5">
        <v>8.3999999999999995E-5</v>
      </c>
      <c r="T75" s="5">
        <v>1.1400000000000001E-4</v>
      </c>
      <c r="U75" s="21">
        <v>9.6000000000000002E-5</v>
      </c>
      <c r="V75" s="5">
        <v>1.6200000000000001E-4</v>
      </c>
      <c r="W75" s="3"/>
      <c r="X75" s="3"/>
      <c r="Y75" s="3"/>
    </row>
    <row r="76" spans="1:25" x14ac:dyDescent="0.35">
      <c r="A76" s="30">
        <v>0.53</v>
      </c>
      <c r="B76" s="30">
        <v>0.17</v>
      </c>
      <c r="C76" s="30">
        <v>0.28000000000000003</v>
      </c>
      <c r="D76" s="30">
        <v>1.92</v>
      </c>
      <c r="E76" s="30">
        <v>1.3999999999999999E-4</v>
      </c>
      <c r="F76" s="30">
        <v>3.2666699999999999E-4</v>
      </c>
      <c r="G76" s="30">
        <v>2.9999999999999997E-4</v>
      </c>
      <c r="H76" s="30">
        <v>3.2000000000000003E-4</v>
      </c>
      <c r="I76" s="30">
        <v>3.3E-4</v>
      </c>
      <c r="J76" s="30">
        <v>1.4E-2</v>
      </c>
      <c r="K76" s="3"/>
      <c r="L76" s="30">
        <v>2.5193699999999998E-4</v>
      </c>
      <c r="M76" s="30">
        <v>5.8765399999999995E-4</v>
      </c>
      <c r="N76" s="30">
        <v>5.3970899999999998E-4</v>
      </c>
      <c r="O76" s="30">
        <v>5.7566799999999999E-4</v>
      </c>
      <c r="P76" s="30">
        <v>5.9364699999999999E-4</v>
      </c>
      <c r="Q76" s="3"/>
      <c r="R76" s="5">
        <v>2.52E-4</v>
      </c>
      <c r="S76" s="5">
        <v>5.8799999999999998E-4</v>
      </c>
      <c r="T76" s="5">
        <v>5.4000000000000001E-4</v>
      </c>
      <c r="U76" s="5">
        <v>5.7600000000000001E-4</v>
      </c>
      <c r="V76" s="5">
        <v>5.9400000000000002E-4</v>
      </c>
      <c r="W76" s="3"/>
      <c r="X76" s="3"/>
      <c r="Y76" s="3"/>
    </row>
    <row r="77" spans="1:25" x14ac:dyDescent="0.35">
      <c r="A77" s="30">
        <v>0.63</v>
      </c>
      <c r="B77" s="30">
        <v>7.0000000000000007E-2</v>
      </c>
      <c r="C77" s="30">
        <v>0.11</v>
      </c>
      <c r="D77" s="30">
        <v>2.09</v>
      </c>
      <c r="E77" s="30">
        <v>3.4299999999999999E-4</v>
      </c>
      <c r="F77" s="30">
        <v>1.7333299999999999E-4</v>
      </c>
      <c r="G77" s="30">
        <v>1.9333299999999999E-4</v>
      </c>
      <c r="H77" s="30">
        <v>1.83E-4</v>
      </c>
      <c r="I77" s="30">
        <v>1.7333299999999999E-4</v>
      </c>
      <c r="J77" s="30">
        <v>3.4333333000000001E-2</v>
      </c>
      <c r="K77" s="3"/>
      <c r="L77" s="30">
        <v>6.1761800000000001E-4</v>
      </c>
      <c r="M77" s="30">
        <v>3.1190299999999998E-4</v>
      </c>
      <c r="N77" s="30">
        <v>3.4787899999999999E-4</v>
      </c>
      <c r="O77" s="30">
        <v>3.2989100000000002E-4</v>
      </c>
      <c r="P77" s="30">
        <v>3.1190299999999998E-4</v>
      </c>
      <c r="Q77" s="3"/>
      <c r="R77" s="5">
        <v>6.1799999999999995E-4</v>
      </c>
      <c r="S77" s="5">
        <v>3.1199999999999999E-4</v>
      </c>
      <c r="T77" s="5">
        <v>3.48E-4</v>
      </c>
      <c r="U77" s="5">
        <v>3.3E-4</v>
      </c>
      <c r="V77" s="5">
        <v>3.1199999999999999E-4</v>
      </c>
      <c r="W77" s="3"/>
      <c r="X77" s="3"/>
      <c r="Y77" s="3"/>
    </row>
    <row r="78" spans="1:25" x14ac:dyDescent="0.35">
      <c r="A78" s="30">
        <v>0.57999999999999996</v>
      </c>
      <c r="B78" s="30">
        <v>0.12</v>
      </c>
      <c r="C78" s="30">
        <v>0.24</v>
      </c>
      <c r="D78" s="30">
        <v>1.96</v>
      </c>
      <c r="E78" s="30">
        <v>2.13E-4</v>
      </c>
      <c r="F78" s="30">
        <v>1.7000000000000001E-4</v>
      </c>
      <c r="G78" s="30">
        <v>1.8333299999999999E-4</v>
      </c>
      <c r="H78" s="30">
        <v>1.7699999999999999E-4</v>
      </c>
      <c r="I78" s="30">
        <v>2.0666700000000001E-4</v>
      </c>
      <c r="J78" s="30">
        <v>2.1333332999999999E-2</v>
      </c>
      <c r="K78" s="3"/>
      <c r="L78" s="30">
        <v>3.8385300000000003E-4</v>
      </c>
      <c r="M78" s="30">
        <v>3.0590599999999999E-4</v>
      </c>
      <c r="N78" s="30">
        <v>3.2989100000000002E-4</v>
      </c>
      <c r="O78" s="30">
        <v>3.1789900000000001E-4</v>
      </c>
      <c r="P78" s="30">
        <v>3.7186199999999998E-4</v>
      </c>
      <c r="Q78" s="3"/>
      <c r="R78" s="5">
        <v>3.8400000000000001E-4</v>
      </c>
      <c r="S78" s="5">
        <v>3.0600000000000001E-4</v>
      </c>
      <c r="T78" s="5">
        <v>3.3E-4</v>
      </c>
      <c r="U78" s="5">
        <v>3.1799999999999998E-4</v>
      </c>
      <c r="V78" s="5">
        <v>3.7199999999999999E-4</v>
      </c>
      <c r="W78" s="3"/>
      <c r="X78" s="3"/>
      <c r="Y78" s="3"/>
    </row>
    <row r="79" spans="1:25" x14ac:dyDescent="0.35">
      <c r="A79" s="30">
        <v>0.51</v>
      </c>
      <c r="B79" s="30">
        <v>0.19</v>
      </c>
      <c r="C79" s="30">
        <v>0.12</v>
      </c>
      <c r="D79" s="30">
        <v>2.08</v>
      </c>
      <c r="E79" s="30">
        <v>2.9999999999999997E-4</v>
      </c>
      <c r="F79" s="30">
        <v>5.8666700000000003E-4</v>
      </c>
      <c r="G79" s="30">
        <v>6.16667E-4</v>
      </c>
      <c r="H79" s="30">
        <v>5.8299999999999997E-4</v>
      </c>
      <c r="I79" s="30">
        <v>5.6333299999999995E-4</v>
      </c>
      <c r="J79" s="30">
        <v>0.03</v>
      </c>
      <c r="K79" s="3"/>
      <c r="L79" s="30">
        <v>5.3970899999999998E-4</v>
      </c>
      <c r="M79" s="30">
        <v>1.0548860000000001E-3</v>
      </c>
      <c r="N79" s="30">
        <v>1.1087689999999999E-3</v>
      </c>
      <c r="O79" s="30">
        <v>1.0488990000000001E-3</v>
      </c>
      <c r="P79" s="30">
        <v>1.0129729999999999E-3</v>
      </c>
      <c r="Q79" s="3"/>
      <c r="R79" s="16">
        <v>5.4000000000000001E-4</v>
      </c>
      <c r="S79" s="16">
        <v>1.0560000000000001E-3</v>
      </c>
      <c r="T79" s="16">
        <v>1.1100000000000001E-3</v>
      </c>
      <c r="U79" s="16">
        <v>1.0499999999999999E-3</v>
      </c>
      <c r="V79" s="16">
        <v>1.0139999999999999E-3</v>
      </c>
      <c r="W79" s="3"/>
      <c r="X79" s="3"/>
      <c r="Y79" s="3"/>
    </row>
    <row r="80" spans="1:25" x14ac:dyDescent="0.35">
      <c r="A80" s="30">
        <v>0.55000000000000004</v>
      </c>
      <c r="B80" s="30">
        <v>0.15</v>
      </c>
      <c r="C80" s="30">
        <v>0.17</v>
      </c>
      <c r="D80" s="30">
        <v>2.0299999999999998</v>
      </c>
      <c r="E80" s="30">
        <v>6.0700000000000001E-4</v>
      </c>
      <c r="F80" s="30">
        <v>3.93333E-4</v>
      </c>
      <c r="G80" s="30">
        <v>3.9666700000000002E-4</v>
      </c>
      <c r="H80" s="30">
        <v>3.8000000000000002E-4</v>
      </c>
      <c r="I80" s="30">
        <v>3.7666700000000002E-4</v>
      </c>
      <c r="J80" s="30">
        <v>6.0666667000000001E-2</v>
      </c>
      <c r="K80" s="3"/>
      <c r="L80" s="30">
        <v>1.0908090000000001E-3</v>
      </c>
      <c r="M80" s="30">
        <v>7.07499E-4</v>
      </c>
      <c r="N80" s="30">
        <v>7.1349100000000002E-4</v>
      </c>
      <c r="O80" s="30">
        <v>6.8353200000000004E-4</v>
      </c>
      <c r="P80" s="30">
        <v>6.7754100000000004E-4</v>
      </c>
      <c r="Q80" s="3"/>
      <c r="R80" s="5">
        <v>1.0920000000000001E-3</v>
      </c>
      <c r="S80" s="5">
        <v>7.0799999999999997E-4</v>
      </c>
      <c r="T80" s="5">
        <v>7.1400000000000001E-4</v>
      </c>
      <c r="U80" s="5">
        <v>6.8400000000000004E-4</v>
      </c>
      <c r="V80" s="5">
        <v>6.78E-4</v>
      </c>
      <c r="W80" s="3"/>
      <c r="X80" s="3"/>
      <c r="Y80" s="3"/>
    </row>
    <row r="81" spans="1:25" x14ac:dyDescent="0.35">
      <c r="A81" s="30">
        <v>0.5</v>
      </c>
      <c r="B81" s="30">
        <v>0.2</v>
      </c>
      <c r="C81" s="30">
        <v>0.2</v>
      </c>
      <c r="D81" s="30">
        <v>2</v>
      </c>
      <c r="E81" s="30">
        <v>3.5E-4</v>
      </c>
      <c r="F81" s="30">
        <v>4.9666700000000001E-4</v>
      </c>
      <c r="G81" s="30">
        <v>4.6999999999999999E-4</v>
      </c>
      <c r="H81" s="30">
        <v>4.8999999999999998E-4</v>
      </c>
      <c r="I81" s="30">
        <v>4.9666700000000001E-4</v>
      </c>
      <c r="J81" s="30">
        <v>3.5000000000000003E-2</v>
      </c>
      <c r="K81" s="3"/>
      <c r="L81" s="30">
        <v>6.2960299999999996E-4</v>
      </c>
      <c r="M81" s="30">
        <v>8.9320100000000004E-4</v>
      </c>
      <c r="N81" s="30">
        <v>8.4528499999999998E-4</v>
      </c>
      <c r="O81" s="30">
        <v>8.8122299999999999E-4</v>
      </c>
      <c r="P81" s="30">
        <v>8.9320100000000004E-4</v>
      </c>
      <c r="Q81" s="3"/>
      <c r="R81" s="5">
        <v>6.3000000000000003E-4</v>
      </c>
      <c r="S81" s="5">
        <v>8.9400000000000005E-4</v>
      </c>
      <c r="T81" s="5">
        <v>8.4599999999999996E-4</v>
      </c>
      <c r="U81" s="5">
        <v>8.8199999999999997E-4</v>
      </c>
      <c r="V81" s="5">
        <v>8.9400000000000005E-4</v>
      </c>
      <c r="W81" s="3"/>
      <c r="X81" s="3"/>
      <c r="Y81" s="3"/>
    </row>
    <row r="82" spans="1:25" x14ac:dyDescent="0.35">
      <c r="A82" s="30">
        <v>0.55000000000000004</v>
      </c>
      <c r="B82" s="30">
        <v>0.15</v>
      </c>
      <c r="C82" s="30">
        <v>0.15</v>
      </c>
      <c r="D82" s="30">
        <v>2.0499999999999998</v>
      </c>
      <c r="E82" s="30">
        <v>5.0699999999999996E-4</v>
      </c>
      <c r="F82" s="30">
        <v>3.8333300000000002E-4</v>
      </c>
      <c r="G82" s="30">
        <v>3.8666699999999999E-4</v>
      </c>
      <c r="H82" s="30">
        <v>3.8000000000000002E-4</v>
      </c>
      <c r="I82" s="30">
        <v>3.8000000000000002E-4</v>
      </c>
      <c r="J82" s="30">
        <v>5.0666666999999999E-2</v>
      </c>
      <c r="K82" s="3"/>
      <c r="L82" s="30">
        <v>9.1116899999999998E-4</v>
      </c>
      <c r="M82" s="30">
        <v>6.8952399999999995E-4</v>
      </c>
      <c r="N82" s="30">
        <v>6.9551599999999997E-4</v>
      </c>
      <c r="O82" s="30">
        <v>6.8353200000000004E-4</v>
      </c>
      <c r="P82" s="30">
        <v>6.8353200000000004E-4</v>
      </c>
      <c r="Q82" s="3"/>
      <c r="R82" s="5">
        <v>9.1200000000000005E-4</v>
      </c>
      <c r="S82" s="5">
        <v>6.8999999999999997E-4</v>
      </c>
      <c r="T82" s="5">
        <v>6.96E-4</v>
      </c>
      <c r="U82" s="5">
        <v>6.8400000000000004E-4</v>
      </c>
      <c r="V82" s="5">
        <v>6.8400000000000004E-4</v>
      </c>
      <c r="W82" s="3"/>
      <c r="X82" s="3"/>
      <c r="Y82" s="3"/>
    </row>
    <row r="83" spans="1:25" x14ac:dyDescent="0.35">
      <c r="A83" s="30">
        <v>0.67</v>
      </c>
      <c r="B83" s="30">
        <v>0.03</v>
      </c>
      <c r="C83" s="30">
        <v>0.22</v>
      </c>
      <c r="D83" s="30">
        <v>1.98</v>
      </c>
      <c r="E83" s="30">
        <v>3.1E-4</v>
      </c>
      <c r="F83" s="31">
        <v>-6.6666699999999996E-6</v>
      </c>
      <c r="G83" s="31">
        <v>-3.3333299999999999E-6</v>
      </c>
      <c r="H83" s="30">
        <v>-2.3E-5</v>
      </c>
      <c r="I83" s="31">
        <v>-3.3333300000000002E-5</v>
      </c>
      <c r="J83" s="30">
        <v>3.1E-2</v>
      </c>
      <c r="K83" s="3"/>
      <c r="L83" s="30">
        <v>5.5768899999999999E-4</v>
      </c>
      <c r="M83" s="31">
        <v>-1.2000100000000001E-5</v>
      </c>
      <c r="N83" s="31">
        <v>-6.0000400000000004E-6</v>
      </c>
      <c r="O83" s="31">
        <v>-4.2001800000000002E-5</v>
      </c>
      <c r="P83" s="31">
        <v>-6.0003600000000003E-5</v>
      </c>
      <c r="Q83" s="3"/>
      <c r="R83" s="5">
        <v>5.5800000000000001E-4</v>
      </c>
      <c r="S83" s="5">
        <v>-1.2E-5</v>
      </c>
      <c r="T83" s="21">
        <v>-6.0000000000000002E-6</v>
      </c>
      <c r="U83" s="5">
        <v>-4.1999999999999998E-5</v>
      </c>
      <c r="V83" s="21">
        <v>-6.0000000000000002E-5</v>
      </c>
      <c r="W83" s="3"/>
      <c r="X83" s="3"/>
      <c r="Y83" s="3"/>
    </row>
    <row r="84" spans="1:25" x14ac:dyDescent="0.35">
      <c r="A84" s="30">
        <v>0.6</v>
      </c>
      <c r="B84" s="30">
        <v>0.1</v>
      </c>
      <c r="C84" s="30">
        <v>0.28999999999999998</v>
      </c>
      <c r="D84" s="30">
        <v>1.91</v>
      </c>
      <c r="E84" s="30">
        <v>-3.0000000000000001E-6</v>
      </c>
      <c r="F84" s="31">
        <v>8.6666699999999995E-5</v>
      </c>
      <c r="G84" s="31">
        <v>2.0000000000000002E-5</v>
      </c>
      <c r="H84" s="30">
        <v>5.0000000000000002E-5</v>
      </c>
      <c r="I84" s="31">
        <v>3.3333300000000002E-5</v>
      </c>
      <c r="J84" s="30">
        <v>-3.33333E-4</v>
      </c>
      <c r="K84" s="3"/>
      <c r="L84" s="31">
        <v>-6.0000400000000004E-6</v>
      </c>
      <c r="M84" s="30">
        <v>1.55976E-4</v>
      </c>
      <c r="N84" s="31">
        <v>3.5998699999999998E-5</v>
      </c>
      <c r="O84" s="31">
        <v>8.9991899999999995E-5</v>
      </c>
      <c r="P84" s="31">
        <v>5.99964E-5</v>
      </c>
      <c r="Q84" s="3"/>
      <c r="R84" s="21">
        <v>-6.0000000000000002E-6</v>
      </c>
      <c r="S84" s="5">
        <v>1.56E-4</v>
      </c>
      <c r="T84" s="21">
        <v>3.6000000000000001E-5</v>
      </c>
      <c r="U84" s="21">
        <v>9.0000000000000006E-5</v>
      </c>
      <c r="V84" s="5">
        <v>6.0000000000000002E-5</v>
      </c>
      <c r="W84" s="3"/>
      <c r="X84" s="3"/>
      <c r="Y84" s="3"/>
    </row>
    <row r="85" spans="1:25" x14ac:dyDescent="0.35">
      <c r="A85" s="30">
        <v>0.68</v>
      </c>
      <c r="B85" s="30">
        <v>0.02</v>
      </c>
      <c r="C85" s="30">
        <v>0.15</v>
      </c>
      <c r="D85" s="30">
        <v>2.0499999999999998</v>
      </c>
      <c r="E85" s="30">
        <v>-8.0000000000000007E-5</v>
      </c>
      <c r="F85" s="31">
        <v>-4.6666699999999998E-5</v>
      </c>
      <c r="G85" s="31">
        <v>-5.0000000000000002E-5</v>
      </c>
      <c r="H85" s="30">
        <v>-4.6999999999999997E-5</v>
      </c>
      <c r="I85" s="31">
        <v>-5.6666699999999997E-5</v>
      </c>
      <c r="J85" s="30">
        <v>-8.0000000000000002E-3</v>
      </c>
      <c r="K85" s="3"/>
      <c r="L85" s="30">
        <v>-1.4402100000000001E-4</v>
      </c>
      <c r="M85" s="31">
        <v>-8.4007100000000004E-5</v>
      </c>
      <c r="N85" s="31">
        <v>-9.0008100000000003E-5</v>
      </c>
      <c r="O85" s="31">
        <v>-8.4007100000000004E-5</v>
      </c>
      <c r="P85" s="30">
        <v>-1.0200999999999999E-4</v>
      </c>
      <c r="Q85" s="3"/>
      <c r="R85" s="5">
        <v>-1.44E-4</v>
      </c>
      <c r="S85" s="5">
        <v>-8.3999999999999995E-5</v>
      </c>
      <c r="T85" s="21">
        <v>-9.0000000000000006E-5</v>
      </c>
      <c r="U85" s="21">
        <v>-8.3999999999999995E-5</v>
      </c>
      <c r="V85" s="5">
        <v>-1.02E-4</v>
      </c>
      <c r="W85" s="3"/>
      <c r="X85" s="3"/>
      <c r="Y85" s="3"/>
    </row>
    <row r="86" spans="1:25" x14ac:dyDescent="0.35">
      <c r="A86" s="30">
        <v>0.7</v>
      </c>
      <c r="B86" s="30">
        <v>0</v>
      </c>
      <c r="C86" s="30">
        <v>0.19</v>
      </c>
      <c r="D86" s="30">
        <v>2.0099999999999998</v>
      </c>
      <c r="E86" s="30">
        <v>5.3000000000000001E-5</v>
      </c>
      <c r="F86" s="30">
        <v>-6.0000000000000002E-5</v>
      </c>
      <c r="G86" s="31">
        <v>-8.3333300000000004E-5</v>
      </c>
      <c r="H86" s="30">
        <v>-7.7000000000000001E-5</v>
      </c>
      <c r="I86" s="31">
        <v>-6.6666699999999996E-5</v>
      </c>
      <c r="J86" s="30">
        <v>5.333333E-3</v>
      </c>
      <c r="K86" s="3"/>
      <c r="L86" s="31">
        <v>9.5990799999999996E-5</v>
      </c>
      <c r="M86" s="30">
        <v>-1.08012E-4</v>
      </c>
      <c r="N86" s="30">
        <v>-1.50023E-4</v>
      </c>
      <c r="O86" s="30">
        <v>-1.3801899999999999E-4</v>
      </c>
      <c r="P86" s="30">
        <v>-1.2001400000000001E-4</v>
      </c>
      <c r="Q86" s="3"/>
      <c r="R86" s="21">
        <v>9.6000000000000002E-5</v>
      </c>
      <c r="S86" s="5">
        <v>-1.08E-4</v>
      </c>
      <c r="T86" s="5">
        <v>-1.4999999999999999E-4</v>
      </c>
      <c r="U86" s="5">
        <v>-1.3799999999999999E-4</v>
      </c>
      <c r="V86" s="5">
        <v>-1.2E-4</v>
      </c>
      <c r="W86" s="3"/>
      <c r="X86" s="3"/>
      <c r="Y86" s="3"/>
    </row>
    <row r="87" spans="1:25" x14ac:dyDescent="0.35">
      <c r="A87" s="30">
        <v>0.69</v>
      </c>
      <c r="B87" s="30">
        <v>0.01</v>
      </c>
      <c r="C87" s="30">
        <v>0.15</v>
      </c>
      <c r="D87" s="30">
        <v>2.0499999999999998</v>
      </c>
      <c r="E87" s="30">
        <v>-6.7000000000000002E-5</v>
      </c>
      <c r="F87" s="31">
        <v>-6.0000000000000002E-5</v>
      </c>
      <c r="G87" s="31">
        <v>-5.0000000000000002E-5</v>
      </c>
      <c r="H87" s="30">
        <v>-6.9999999999999994E-5</v>
      </c>
      <c r="I87" s="30">
        <v>-5.0000000000000002E-5</v>
      </c>
      <c r="J87" s="30">
        <v>-6.6666670000000003E-3</v>
      </c>
      <c r="K87" s="3"/>
      <c r="L87" s="30">
        <v>-1.2001400000000001E-4</v>
      </c>
      <c r="M87" s="30">
        <v>-1.08012E-4</v>
      </c>
      <c r="N87" s="31">
        <v>-9.0008100000000003E-5</v>
      </c>
      <c r="O87" s="30">
        <v>-1.2601600000000001E-4</v>
      </c>
      <c r="P87" s="31">
        <v>-9.0008100000000003E-5</v>
      </c>
      <c r="Q87" s="3"/>
      <c r="R87" s="5">
        <v>-1.2E-4</v>
      </c>
      <c r="S87" s="5">
        <v>-1.08E-4</v>
      </c>
      <c r="T87" s="21">
        <v>-9.0000000000000006E-5</v>
      </c>
      <c r="U87" s="5">
        <v>-1.26E-4</v>
      </c>
      <c r="V87" s="21">
        <v>-9.0000000000000006E-5</v>
      </c>
      <c r="W87" s="3"/>
      <c r="X87" s="3"/>
      <c r="Y87" s="3"/>
    </row>
    <row r="88" spans="1:25" x14ac:dyDescent="0.35">
      <c r="A88" s="30">
        <v>0.57999999999999996</v>
      </c>
      <c r="B88" s="30">
        <v>0.12</v>
      </c>
      <c r="C88" s="30">
        <v>0.12</v>
      </c>
      <c r="D88" s="30">
        <v>2.08</v>
      </c>
      <c r="E88" s="30">
        <v>1.7E-5</v>
      </c>
      <c r="F88" s="30">
        <v>3.2333299999999998E-4</v>
      </c>
      <c r="G88" s="30">
        <v>2.9666700000000002E-4</v>
      </c>
      <c r="H88" s="30">
        <v>3.1700000000000001E-4</v>
      </c>
      <c r="I88" s="30">
        <v>3.33333E-4</v>
      </c>
      <c r="J88" s="30">
        <v>1.6666669999999999E-3</v>
      </c>
      <c r="K88" s="3"/>
      <c r="L88" s="31">
        <v>2.9999099999999999E-5</v>
      </c>
      <c r="M88" s="30">
        <v>5.8166100000000003E-4</v>
      </c>
      <c r="N88" s="30">
        <v>5.3371500000000004E-4</v>
      </c>
      <c r="O88" s="30">
        <v>5.6967499999999996E-4</v>
      </c>
      <c r="P88" s="30">
        <v>5.9964000000000003E-4</v>
      </c>
      <c r="Q88" s="3"/>
      <c r="R88" s="5">
        <v>3.0000000000000001E-5</v>
      </c>
      <c r="S88" s="5">
        <v>5.8200000000000005E-4</v>
      </c>
      <c r="T88" s="5">
        <v>5.3399999999999997E-4</v>
      </c>
      <c r="U88" s="5">
        <v>5.6999999999999998E-4</v>
      </c>
      <c r="V88" s="5">
        <v>5.9999999999999995E-4</v>
      </c>
      <c r="W88" s="3"/>
      <c r="X88" s="3"/>
      <c r="Y88" s="3"/>
    </row>
    <row r="89" spans="1:25" x14ac:dyDescent="0.35">
      <c r="A89" s="30">
        <v>0.67</v>
      </c>
      <c r="B89" s="30">
        <v>0.03</v>
      </c>
      <c r="C89" s="30">
        <v>0.11</v>
      </c>
      <c r="D89" s="30">
        <v>2.09</v>
      </c>
      <c r="E89" s="30">
        <v>2.9300000000000002E-4</v>
      </c>
      <c r="F89" s="31">
        <v>5.6666699999999997E-5</v>
      </c>
      <c r="G89" s="31">
        <v>6.0000000000000002E-5</v>
      </c>
      <c r="H89" s="30">
        <v>4.6999999999999997E-5</v>
      </c>
      <c r="I89" s="30">
        <v>5.0000000000000002E-5</v>
      </c>
      <c r="J89" s="30">
        <v>2.9333333E-2</v>
      </c>
      <c r="K89" s="3"/>
      <c r="L89" s="30">
        <v>5.2772099999999998E-4</v>
      </c>
      <c r="M89" s="30">
        <v>1.0199E-4</v>
      </c>
      <c r="N89" s="30">
        <v>1.07988E-4</v>
      </c>
      <c r="O89" s="31">
        <v>8.39929E-5</v>
      </c>
      <c r="P89" s="31">
        <v>8.9991899999999995E-5</v>
      </c>
      <c r="Q89" s="3"/>
      <c r="R89" s="5">
        <v>5.2800000000000004E-4</v>
      </c>
      <c r="S89" s="5">
        <v>1.02E-4</v>
      </c>
      <c r="T89" s="5">
        <v>1.08E-4</v>
      </c>
      <c r="U89" s="5">
        <v>8.3999999999999995E-5</v>
      </c>
      <c r="V89" s="5">
        <v>9.0000000000000006E-5</v>
      </c>
      <c r="W89" s="3"/>
      <c r="X89" s="3"/>
      <c r="Y89" s="3"/>
    </row>
    <row r="90" spans="1:25" x14ac:dyDescent="0.35">
      <c r="A90" s="30">
        <v>0.61</v>
      </c>
      <c r="B90" s="30">
        <v>0.09</v>
      </c>
      <c r="C90" s="30">
        <v>0.18</v>
      </c>
      <c r="D90" s="30">
        <v>2.02</v>
      </c>
      <c r="E90" s="30">
        <v>1.17E-4</v>
      </c>
      <c r="F90" s="30">
        <v>2.2333300000000001E-4</v>
      </c>
      <c r="G90" s="30">
        <v>2.0333300000000001E-4</v>
      </c>
      <c r="H90" s="30">
        <v>1.8699999999999999E-4</v>
      </c>
      <c r="I90" s="30">
        <v>2.2333300000000001E-4</v>
      </c>
      <c r="J90" s="30">
        <v>1.1666667E-2</v>
      </c>
      <c r="K90" s="3"/>
      <c r="L90" s="30">
        <v>2.0995599999999999E-4</v>
      </c>
      <c r="M90" s="30">
        <v>4.0183800000000001E-4</v>
      </c>
      <c r="N90" s="30">
        <v>3.6586600000000001E-4</v>
      </c>
      <c r="O90" s="30">
        <v>3.3588699999999999E-4</v>
      </c>
      <c r="P90" s="30">
        <v>4.0183800000000001E-4</v>
      </c>
      <c r="Q90" s="3"/>
      <c r="R90" s="16">
        <v>2.1000000000000001E-4</v>
      </c>
      <c r="S90" s="16">
        <v>4.0200000000000001E-4</v>
      </c>
      <c r="T90" s="16">
        <v>3.6600000000000001E-4</v>
      </c>
      <c r="U90" s="16">
        <v>3.3599999999999998E-4</v>
      </c>
      <c r="V90" s="16">
        <v>4.0200000000000001E-4</v>
      </c>
      <c r="W90" s="3"/>
      <c r="X90" s="3"/>
      <c r="Y90" s="3"/>
    </row>
    <row r="91" spans="1:25" x14ac:dyDescent="0.35">
      <c r="A91" s="30">
        <v>0.65</v>
      </c>
      <c r="B91" s="30">
        <v>0.05</v>
      </c>
      <c r="C91" s="30">
        <v>0.23</v>
      </c>
      <c r="D91" s="30">
        <v>1.97</v>
      </c>
      <c r="E91" s="30">
        <v>1.83E-4</v>
      </c>
      <c r="F91" s="31">
        <v>3.0000000000000001E-5</v>
      </c>
      <c r="G91" s="30">
        <v>1.0000000000000001E-5</v>
      </c>
      <c r="H91" s="30">
        <v>3.0000000000000001E-6</v>
      </c>
      <c r="I91" s="31">
        <v>1.33333E-5</v>
      </c>
      <c r="J91" s="30">
        <v>1.8333333E-2</v>
      </c>
      <c r="K91" s="3"/>
      <c r="L91" s="30">
        <v>3.2989100000000002E-4</v>
      </c>
      <c r="M91" s="31">
        <v>5.3997099999999998E-5</v>
      </c>
      <c r="N91" s="31">
        <v>1.79997E-5</v>
      </c>
      <c r="O91" s="31">
        <v>5.9999599999999999E-6</v>
      </c>
      <c r="P91" s="31">
        <v>2.3999399999999999E-5</v>
      </c>
      <c r="Q91" s="3"/>
      <c r="R91" s="5">
        <v>3.3E-4</v>
      </c>
      <c r="S91" s="21">
        <v>5.3999999999999998E-5</v>
      </c>
      <c r="T91" s="5">
        <v>1.8E-5</v>
      </c>
      <c r="U91" s="21">
        <v>6.0000000000000002E-6</v>
      </c>
      <c r="V91" s="21">
        <v>2.4000000000000001E-5</v>
      </c>
      <c r="W91" s="3"/>
      <c r="X91" s="3"/>
      <c r="Y91" s="3"/>
    </row>
    <row r="92" spans="1:25" x14ac:dyDescent="0.35">
      <c r="A92" s="30">
        <v>0.68</v>
      </c>
      <c r="B92" s="30">
        <v>0.02</v>
      </c>
      <c r="C92" s="30">
        <v>0.22</v>
      </c>
      <c r="D92" s="30">
        <v>1.98</v>
      </c>
      <c r="E92" s="30">
        <v>4.0000000000000003E-5</v>
      </c>
      <c r="F92" s="30">
        <v>0</v>
      </c>
      <c r="G92" s="31">
        <v>3.3333299999999999E-6</v>
      </c>
      <c r="H92" s="30">
        <v>1.0000000000000001E-5</v>
      </c>
      <c r="I92" s="30">
        <v>0</v>
      </c>
      <c r="J92" s="30">
        <v>4.0000000000000001E-3</v>
      </c>
      <c r="K92" s="3"/>
      <c r="L92" s="31">
        <v>7.1994800000000004E-5</v>
      </c>
      <c r="M92" s="30">
        <v>0</v>
      </c>
      <c r="N92" s="31">
        <v>5.9999599999999999E-6</v>
      </c>
      <c r="O92" s="31">
        <v>1.79997E-5</v>
      </c>
      <c r="P92" s="30">
        <v>0</v>
      </c>
      <c r="Q92" s="3"/>
      <c r="R92" s="21">
        <v>7.2000000000000002E-5</v>
      </c>
      <c r="S92" s="5">
        <v>0</v>
      </c>
      <c r="T92" s="21">
        <v>6.0000000000000002E-6</v>
      </c>
      <c r="U92" s="21">
        <v>1.8E-5</v>
      </c>
      <c r="V92" s="5">
        <v>0</v>
      </c>
      <c r="W92" s="3"/>
      <c r="X92" s="3"/>
      <c r="Y92" s="3"/>
    </row>
    <row r="93" spans="1:25" x14ac:dyDescent="0.35">
      <c r="A93" s="30">
        <v>0.56000000000000005</v>
      </c>
      <c r="B93" s="30">
        <v>0.14000000000000001</v>
      </c>
      <c r="C93" s="30">
        <v>0.25</v>
      </c>
      <c r="D93" s="30">
        <v>1.95</v>
      </c>
      <c r="E93" s="30">
        <v>0</v>
      </c>
      <c r="F93" s="30">
        <v>2.7666700000000003E-4</v>
      </c>
      <c r="G93" s="30">
        <v>2.6333299999999998E-4</v>
      </c>
      <c r="H93" s="30">
        <v>2.5999999999999998E-4</v>
      </c>
      <c r="I93" s="30">
        <v>2.7666700000000003E-4</v>
      </c>
      <c r="J93" s="30">
        <v>0</v>
      </c>
      <c r="K93" s="3"/>
      <c r="L93" s="30">
        <v>0</v>
      </c>
      <c r="M93" s="30">
        <v>4.9775199999999996E-4</v>
      </c>
      <c r="N93" s="30">
        <v>4.7377500000000001E-4</v>
      </c>
      <c r="O93" s="30">
        <v>4.6778100000000001E-4</v>
      </c>
      <c r="P93" s="30">
        <v>4.9775199999999996E-4</v>
      </c>
      <c r="Q93" s="3"/>
      <c r="R93" s="5">
        <v>0</v>
      </c>
      <c r="S93" s="5">
        <v>4.9799999999999996E-4</v>
      </c>
      <c r="T93" s="5">
        <v>4.7399999999999997E-4</v>
      </c>
      <c r="U93" s="5">
        <v>4.6799999999999999E-4</v>
      </c>
      <c r="V93" s="5">
        <v>4.9799999999999996E-4</v>
      </c>
      <c r="W93" s="3"/>
      <c r="X93" s="3"/>
      <c r="Y93" s="3"/>
    </row>
    <row r="94" spans="1:25" x14ac:dyDescent="0.35">
      <c r="A94" s="30">
        <v>0.59</v>
      </c>
      <c r="B94" s="30">
        <v>0.11</v>
      </c>
      <c r="C94" s="30">
        <v>0.26</v>
      </c>
      <c r="D94" s="30">
        <v>1.94</v>
      </c>
      <c r="E94" s="30">
        <v>1.73E-4</v>
      </c>
      <c r="F94" s="31">
        <v>9.0000000000000006E-5</v>
      </c>
      <c r="G94" s="30">
        <v>1.2E-4</v>
      </c>
      <c r="H94" s="30">
        <v>1.17E-4</v>
      </c>
      <c r="I94" s="30">
        <v>1.2E-4</v>
      </c>
      <c r="J94" s="30">
        <v>1.7333332999999999E-2</v>
      </c>
      <c r="K94" s="3"/>
      <c r="L94" s="30">
        <v>3.1190299999999998E-4</v>
      </c>
      <c r="M94" s="30">
        <v>1.61974E-4</v>
      </c>
      <c r="N94" s="30">
        <v>2.1595300000000001E-4</v>
      </c>
      <c r="O94" s="30">
        <v>2.0995599999999999E-4</v>
      </c>
      <c r="P94" s="30">
        <v>2.1595300000000001E-4</v>
      </c>
      <c r="Q94" s="3"/>
      <c r="R94" s="5">
        <v>3.1199999999999999E-4</v>
      </c>
      <c r="S94" s="5">
        <v>1.6200000000000001E-4</v>
      </c>
      <c r="T94" s="5">
        <v>2.1599999999999999E-4</v>
      </c>
      <c r="U94" s="5">
        <v>2.1000000000000001E-4</v>
      </c>
      <c r="V94" s="5">
        <v>2.1599999999999999E-4</v>
      </c>
      <c r="W94" s="3"/>
      <c r="X94" s="3"/>
      <c r="Y94" s="3"/>
    </row>
    <row r="95" spans="1:25" x14ac:dyDescent="0.35">
      <c r="A95" s="30">
        <v>0.53</v>
      </c>
      <c r="B95" s="30">
        <v>0.17</v>
      </c>
      <c r="C95" s="30">
        <v>0.14000000000000001</v>
      </c>
      <c r="D95" s="30">
        <v>2.06</v>
      </c>
      <c r="E95" s="30">
        <v>1.2300000000000001E-4</v>
      </c>
      <c r="F95" s="30">
        <v>3.3666700000000002E-4</v>
      </c>
      <c r="G95" s="30">
        <v>3.2000000000000003E-4</v>
      </c>
      <c r="H95" s="30">
        <v>3.1700000000000001E-4</v>
      </c>
      <c r="I95" s="30">
        <v>3.1E-4</v>
      </c>
      <c r="J95" s="30">
        <v>1.2333333E-2</v>
      </c>
      <c r="K95" s="3"/>
      <c r="L95" s="30">
        <v>2.2195099999999999E-4</v>
      </c>
      <c r="M95" s="30">
        <v>6.0563299999999995E-4</v>
      </c>
      <c r="N95" s="30">
        <v>5.7566799999999999E-4</v>
      </c>
      <c r="O95" s="30">
        <v>5.6967499999999996E-4</v>
      </c>
      <c r="P95" s="30">
        <v>5.5768899999999999E-4</v>
      </c>
      <c r="Q95" s="3"/>
      <c r="R95" s="5">
        <v>2.22E-4</v>
      </c>
      <c r="S95" s="5">
        <v>6.0599999999999998E-4</v>
      </c>
      <c r="T95" s="5">
        <v>5.7600000000000001E-4</v>
      </c>
      <c r="U95" s="5">
        <v>5.6999999999999998E-4</v>
      </c>
      <c r="V95" s="5">
        <v>5.5800000000000001E-4</v>
      </c>
      <c r="W95" s="3"/>
      <c r="X95" s="3"/>
      <c r="Y95" s="3"/>
    </row>
    <row r="96" spans="1:25" x14ac:dyDescent="0.35">
      <c r="A96" s="30">
        <v>0.64</v>
      </c>
      <c r="B96" s="30">
        <v>0.06</v>
      </c>
      <c r="C96" s="30">
        <v>0.27</v>
      </c>
      <c r="D96" s="30">
        <v>1.93</v>
      </c>
      <c r="E96" s="30">
        <v>4.4700000000000002E-4</v>
      </c>
      <c r="F96" s="31">
        <v>3.6666699999999999E-5</v>
      </c>
      <c r="G96" s="31">
        <v>2.3333299999999999E-5</v>
      </c>
      <c r="H96" s="30">
        <v>4.3000000000000002E-5</v>
      </c>
      <c r="I96" s="31">
        <v>3.3333300000000002E-5</v>
      </c>
      <c r="J96" s="30">
        <v>4.4666667E-2</v>
      </c>
      <c r="K96" s="3"/>
      <c r="L96" s="30">
        <v>8.0335400000000005E-4</v>
      </c>
      <c r="M96" s="31">
        <v>6.5995599999999995E-5</v>
      </c>
      <c r="N96" s="31">
        <v>4.1998200000000001E-5</v>
      </c>
      <c r="O96" s="31">
        <v>7.7993900000000006E-5</v>
      </c>
      <c r="P96" s="31">
        <v>5.99964E-5</v>
      </c>
      <c r="Q96" s="3"/>
      <c r="R96" s="5">
        <v>8.0400000000000003E-4</v>
      </c>
      <c r="S96" s="21">
        <v>6.6000000000000005E-5</v>
      </c>
      <c r="T96" s="21">
        <v>4.1999999999999998E-5</v>
      </c>
      <c r="U96" s="21">
        <v>7.7999999999999999E-5</v>
      </c>
      <c r="V96" s="5">
        <v>6.0000000000000002E-5</v>
      </c>
      <c r="W96" s="3"/>
      <c r="X96" s="3"/>
      <c r="Y96" s="3"/>
    </row>
    <row r="97" spans="1:25" x14ac:dyDescent="0.35">
      <c r="A97" s="30">
        <v>0.65</v>
      </c>
      <c r="B97" s="30">
        <v>0.05</v>
      </c>
      <c r="C97" s="30">
        <v>0.16</v>
      </c>
      <c r="D97" s="30">
        <v>2.04</v>
      </c>
      <c r="E97" s="30">
        <v>3.0000000000000001E-5</v>
      </c>
      <c r="F97" s="31">
        <v>8.3333300000000004E-5</v>
      </c>
      <c r="G97" s="31">
        <v>7.6666699999999996E-5</v>
      </c>
      <c r="H97" s="30">
        <v>6.0000000000000002E-5</v>
      </c>
      <c r="I97" s="31">
        <v>5.6666699999999997E-5</v>
      </c>
      <c r="J97" s="30">
        <v>3.0000000000000001E-3</v>
      </c>
      <c r="K97" s="3"/>
      <c r="L97" s="31">
        <v>5.3997099999999998E-5</v>
      </c>
      <c r="M97" s="30">
        <v>1.4997799999999999E-4</v>
      </c>
      <c r="N97" s="30">
        <v>1.3798099999999999E-4</v>
      </c>
      <c r="O97" s="30">
        <v>1.07988E-4</v>
      </c>
      <c r="P97" s="30">
        <v>1.0199E-4</v>
      </c>
      <c r="Q97" s="3"/>
      <c r="R97" s="21">
        <v>5.3999999999999998E-5</v>
      </c>
      <c r="S97" s="5">
        <v>1.4999999999999999E-4</v>
      </c>
      <c r="T97" s="5">
        <v>1.3799999999999999E-4</v>
      </c>
      <c r="U97" s="5">
        <v>1.08E-4</v>
      </c>
      <c r="V97" s="5">
        <v>1.02E-4</v>
      </c>
      <c r="W97" s="3"/>
      <c r="X97" s="3"/>
      <c r="Y97" s="3"/>
    </row>
    <row r="98" spans="1:25" x14ac:dyDescent="0.35">
      <c r="A98" s="30">
        <v>0.52</v>
      </c>
      <c r="B98" s="30">
        <v>0.18</v>
      </c>
      <c r="C98" s="30">
        <v>0.24</v>
      </c>
      <c r="D98" s="30">
        <v>1.96</v>
      </c>
      <c r="E98" s="30">
        <v>6.7000000000000002E-5</v>
      </c>
      <c r="F98" s="30">
        <v>2.7999999999999998E-4</v>
      </c>
      <c r="G98" s="30">
        <v>2.9333300000000001E-4</v>
      </c>
      <c r="H98" s="30">
        <v>2.4699999999999999E-4</v>
      </c>
      <c r="I98" s="30">
        <v>2.3000000000000001E-4</v>
      </c>
      <c r="J98" s="30">
        <v>6.6666670000000003E-3</v>
      </c>
      <c r="K98" s="3"/>
      <c r="L98" s="30">
        <v>1.19986E-4</v>
      </c>
      <c r="M98" s="30">
        <v>5.0374600000000001E-4</v>
      </c>
      <c r="N98" s="30">
        <v>5.2772099999999998E-4</v>
      </c>
      <c r="O98" s="30">
        <v>4.4380299999999999E-4</v>
      </c>
      <c r="P98" s="30">
        <v>4.13829E-4</v>
      </c>
      <c r="Q98" s="3"/>
      <c r="R98" s="5">
        <v>1.2E-4</v>
      </c>
      <c r="S98" s="5">
        <v>5.04E-4</v>
      </c>
      <c r="T98" s="5">
        <v>5.2800000000000004E-4</v>
      </c>
      <c r="U98" s="5">
        <v>4.44E-4</v>
      </c>
      <c r="V98" s="5">
        <v>4.1399999999999998E-4</v>
      </c>
      <c r="W98" s="3"/>
      <c r="X98" s="3"/>
      <c r="Y98" s="3"/>
    </row>
    <row r="99" spans="1:25" x14ac:dyDescent="0.35">
      <c r="A99" s="30">
        <v>0.55000000000000004</v>
      </c>
      <c r="B99" s="30">
        <v>0.15</v>
      </c>
      <c r="C99" s="30">
        <v>0.13</v>
      </c>
      <c r="D99" s="30">
        <v>2.0699999999999998</v>
      </c>
      <c r="E99" s="30">
        <v>4.37E-4</v>
      </c>
      <c r="F99" s="30">
        <v>4.2000000000000002E-4</v>
      </c>
      <c r="G99" s="30">
        <v>4.2666699999999999E-4</v>
      </c>
      <c r="H99" s="30">
        <v>4.4000000000000002E-4</v>
      </c>
      <c r="I99" s="30">
        <v>4.3666700000000001E-4</v>
      </c>
      <c r="J99" s="30">
        <v>4.3666666999999999E-2</v>
      </c>
      <c r="K99" s="3"/>
      <c r="L99" s="30">
        <v>7.8538299999999996E-4</v>
      </c>
      <c r="M99" s="30">
        <v>7.5542899999999995E-4</v>
      </c>
      <c r="N99" s="30">
        <v>7.6741099999999996E-4</v>
      </c>
      <c r="O99" s="30">
        <v>7.9137299999999995E-4</v>
      </c>
      <c r="P99" s="30">
        <v>7.8538299999999996E-4</v>
      </c>
      <c r="Q99" s="3"/>
      <c r="R99" s="5">
        <v>7.8600000000000002E-4</v>
      </c>
      <c r="S99" s="5">
        <v>7.5600000000000005E-4</v>
      </c>
      <c r="T99" s="5">
        <v>7.6800000000000002E-4</v>
      </c>
      <c r="U99" s="5">
        <v>7.9199999999999995E-4</v>
      </c>
      <c r="V99" s="5">
        <v>7.8600000000000002E-4</v>
      </c>
      <c r="W99" s="3"/>
      <c r="X99" s="3"/>
      <c r="Y99" s="3"/>
    </row>
    <row r="100" spans="1:25" x14ac:dyDescent="0.35">
      <c r="A100" s="30">
        <v>0.52</v>
      </c>
      <c r="B100" s="30">
        <v>0.18</v>
      </c>
      <c r="C100" s="30">
        <v>0.28000000000000003</v>
      </c>
      <c r="D100" s="30">
        <v>1.92</v>
      </c>
      <c r="E100" s="30">
        <v>3.6299999999999999E-4</v>
      </c>
      <c r="F100" s="30">
        <v>3.1E-4</v>
      </c>
      <c r="G100" s="30">
        <v>2.8333299999999998E-4</v>
      </c>
      <c r="H100" s="30">
        <v>3.0299999999999999E-4</v>
      </c>
      <c r="I100" s="30">
        <v>3.13333E-4</v>
      </c>
      <c r="J100" s="30">
        <v>3.6333333000000002E-2</v>
      </c>
      <c r="K100" s="3"/>
      <c r="L100" s="30">
        <v>6.5357299999999996E-4</v>
      </c>
      <c r="M100" s="30">
        <v>5.5768899999999999E-4</v>
      </c>
      <c r="N100" s="30">
        <v>5.0973999999999995E-4</v>
      </c>
      <c r="O100" s="30">
        <v>5.4570200000000001E-4</v>
      </c>
      <c r="P100" s="30">
        <v>5.6368200000000003E-4</v>
      </c>
      <c r="Q100" s="3"/>
      <c r="R100" s="5">
        <v>6.5399999999999996E-4</v>
      </c>
      <c r="S100" s="5">
        <v>5.5800000000000001E-4</v>
      </c>
      <c r="T100" s="5">
        <v>5.1000000000000004E-4</v>
      </c>
      <c r="U100" s="5">
        <v>5.4600000000000004E-4</v>
      </c>
      <c r="V100" s="5">
        <v>5.6400000000000005E-4</v>
      </c>
      <c r="W100" s="3"/>
      <c r="X100" s="3"/>
      <c r="Y100" s="3"/>
    </row>
    <row r="101" spans="1:25" x14ac:dyDescent="0.35">
      <c r="A101" s="30">
        <v>0.63</v>
      </c>
      <c r="B101" s="30">
        <v>7.0000000000000007E-2</v>
      </c>
      <c r="C101" s="30">
        <v>0.21</v>
      </c>
      <c r="D101" s="30">
        <v>1.99</v>
      </c>
      <c r="E101" s="30">
        <v>3.2000000000000003E-4</v>
      </c>
      <c r="F101" s="31">
        <v>8.6666699999999995E-5</v>
      </c>
      <c r="G101" s="31">
        <v>6.6666699999999996E-5</v>
      </c>
      <c r="H101" s="30">
        <v>6.7000000000000002E-5</v>
      </c>
      <c r="I101" s="30">
        <v>9.0000000000000006E-5</v>
      </c>
      <c r="J101" s="30">
        <v>3.2000000000000001E-2</v>
      </c>
      <c r="K101" s="3"/>
      <c r="L101" s="30">
        <v>5.7566799999999999E-4</v>
      </c>
      <c r="M101" s="30">
        <v>1.55976E-4</v>
      </c>
      <c r="N101" s="30">
        <v>1.19986E-4</v>
      </c>
      <c r="O101" s="30">
        <v>1.19986E-4</v>
      </c>
      <c r="P101" s="30">
        <v>1.61974E-4</v>
      </c>
      <c r="Q101" s="3"/>
      <c r="R101" s="5">
        <v>5.7600000000000001E-4</v>
      </c>
      <c r="S101" s="5">
        <v>1.56E-4</v>
      </c>
      <c r="T101" s="5">
        <v>1.2E-4</v>
      </c>
      <c r="U101" s="5">
        <v>1.2E-4</v>
      </c>
      <c r="V101" s="5">
        <v>1.6200000000000001E-4</v>
      </c>
      <c r="W101" s="3"/>
      <c r="X101" s="3"/>
      <c r="Y101" s="3"/>
    </row>
    <row r="102" spans="1:25" x14ac:dyDescent="0.35">
      <c r="A102" s="3">
        <v>0.56999999999999995</v>
      </c>
      <c r="B102" s="3">
        <v>0.13</v>
      </c>
      <c r="C102" s="3">
        <v>0.27</v>
      </c>
      <c r="D102" s="3">
        <v>1.93</v>
      </c>
      <c r="E102" s="3">
        <v>1.6699999999999999E-4</v>
      </c>
      <c r="F102" s="3">
        <v>2.8333299999999998E-4</v>
      </c>
      <c r="G102" s="3">
        <v>2.8333299999999998E-4</v>
      </c>
      <c r="H102" s="3">
        <v>2.9300000000000002E-4</v>
      </c>
      <c r="I102" s="3">
        <v>2.9333300000000001E-4</v>
      </c>
      <c r="J102" s="3">
        <v>1.6666667E-2</v>
      </c>
      <c r="K102" s="3"/>
      <c r="L102" s="3">
        <v>2.9991000000000002E-4</v>
      </c>
      <c r="M102" s="3">
        <v>5.0973999999999995E-4</v>
      </c>
      <c r="N102" s="3">
        <v>5.0973999999999995E-4</v>
      </c>
      <c r="O102" s="3">
        <v>5.2772099999999998E-4</v>
      </c>
      <c r="P102" s="3">
        <v>5.2772099999999998E-4</v>
      </c>
      <c r="Q102" s="3"/>
      <c r="R102" s="5">
        <v>2.9999999999999997E-4</v>
      </c>
      <c r="S102" s="5">
        <v>5.1000000000000004E-4</v>
      </c>
      <c r="T102" s="5">
        <v>5.1000000000000004E-4</v>
      </c>
      <c r="U102" s="5">
        <v>5.2800000000000004E-4</v>
      </c>
      <c r="V102" s="5">
        <v>5.2800000000000004E-4</v>
      </c>
      <c r="W102" s="3"/>
      <c r="X102" s="3"/>
      <c r="Y102" s="3"/>
    </row>
    <row r="103" spans="1:25" x14ac:dyDescent="0.35">
      <c r="A103" s="3">
        <v>0.63</v>
      </c>
      <c r="B103" s="3">
        <v>7.0000000000000007E-2</v>
      </c>
      <c r="C103" s="3">
        <v>0.2</v>
      </c>
      <c r="D103" s="3">
        <v>2</v>
      </c>
      <c r="E103" s="3">
        <v>2.8699999999999998E-4</v>
      </c>
      <c r="F103" s="3">
        <v>1.4333299999999999E-4</v>
      </c>
      <c r="G103" s="3">
        <v>1.7000000000000001E-4</v>
      </c>
      <c r="H103" s="3">
        <v>1.3999999999999999E-4</v>
      </c>
      <c r="I103" s="3">
        <v>1.6000000000000001E-4</v>
      </c>
      <c r="J103" s="3">
        <v>2.8666667E-2</v>
      </c>
      <c r="K103" s="3"/>
      <c r="L103" s="3">
        <v>5.1573400000000001E-4</v>
      </c>
      <c r="M103" s="3">
        <v>2.5793300000000001E-4</v>
      </c>
      <c r="N103" s="3">
        <v>3.0590599999999999E-4</v>
      </c>
      <c r="O103" s="3">
        <v>2.5193699999999998E-4</v>
      </c>
      <c r="P103" s="3">
        <v>2.87917E-4</v>
      </c>
      <c r="Q103" s="3"/>
      <c r="R103" s="5">
        <v>5.1599999999999997E-4</v>
      </c>
      <c r="S103" s="5">
        <v>2.5799999999999998E-4</v>
      </c>
      <c r="T103" s="5">
        <v>3.0600000000000001E-4</v>
      </c>
      <c r="U103" s="5">
        <v>2.52E-4</v>
      </c>
      <c r="V103" s="5">
        <v>2.8800000000000001E-4</v>
      </c>
      <c r="W103" s="3"/>
      <c r="X103" s="3"/>
      <c r="Y103" s="3"/>
    </row>
    <row r="104" spans="1:25" x14ac:dyDescent="0.35">
      <c r="Q104" s="3"/>
    </row>
    <row r="105" spans="1:25" x14ac:dyDescent="0.35">
      <c r="Q105" s="3"/>
    </row>
    <row r="106" spans="1:25" x14ac:dyDescent="0.35">
      <c r="Q106" s="3"/>
    </row>
  </sheetData>
  <mergeCells count="20">
    <mergeCell ref="P38:P39"/>
    <mergeCell ref="E2:G2"/>
    <mergeCell ref="H2:H3"/>
    <mergeCell ref="I2:K2"/>
    <mergeCell ref="L2:L3"/>
    <mergeCell ref="M2:O2"/>
    <mergeCell ref="P2:P3"/>
    <mergeCell ref="E38:G38"/>
    <mergeCell ref="H38:H39"/>
    <mergeCell ref="I38:K38"/>
    <mergeCell ref="L38:L39"/>
    <mergeCell ref="M38:O38"/>
    <mergeCell ref="Q38:S38"/>
    <mergeCell ref="T38:T39"/>
    <mergeCell ref="U38:W38"/>
    <mergeCell ref="X38:X39"/>
    <mergeCell ref="Q2:S2"/>
    <mergeCell ref="T2:T3"/>
    <mergeCell ref="U2:W2"/>
    <mergeCell ref="X2:X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F04-E6F5-4DE4-B6CF-3B4E24A7C657}">
  <dimension ref="A1:AC32"/>
  <sheetViews>
    <sheetView topLeftCell="B1" workbookViewId="0">
      <selection activeCell="H5" sqref="H5"/>
    </sheetView>
  </sheetViews>
  <sheetFormatPr defaultRowHeight="14.5" x14ac:dyDescent="0.35"/>
  <sheetData>
    <row r="1" spans="1:29" x14ac:dyDescent="0.35">
      <c r="A1" s="9" t="s">
        <v>0</v>
      </c>
      <c r="B1" s="10" t="s">
        <v>1</v>
      </c>
      <c r="C1" s="11" t="s">
        <v>2</v>
      </c>
      <c r="D1" s="17" t="s">
        <v>3</v>
      </c>
      <c r="E1" s="32">
        <v>0</v>
      </c>
      <c r="F1" s="32"/>
      <c r="G1" s="32"/>
      <c r="H1" s="32" t="s">
        <v>8</v>
      </c>
      <c r="I1" s="32">
        <v>4</v>
      </c>
      <c r="J1" s="32"/>
      <c r="K1" s="32"/>
      <c r="L1" s="32" t="s">
        <v>9</v>
      </c>
      <c r="M1" s="32">
        <v>8</v>
      </c>
      <c r="N1" s="32"/>
      <c r="O1" s="32"/>
      <c r="P1" s="32" t="s">
        <v>10</v>
      </c>
      <c r="Q1" s="32">
        <v>12</v>
      </c>
      <c r="R1" s="32"/>
      <c r="S1" s="32"/>
      <c r="T1" s="32" t="s">
        <v>11</v>
      </c>
      <c r="U1" s="32">
        <v>16</v>
      </c>
      <c r="V1" s="32"/>
      <c r="W1" s="35"/>
      <c r="X1" s="36" t="s">
        <v>12</v>
      </c>
      <c r="Y1" s="34" t="s">
        <v>13</v>
      </c>
      <c r="Z1" s="34" t="s">
        <v>14</v>
      </c>
      <c r="AA1" s="34" t="s">
        <v>15</v>
      </c>
      <c r="AB1" s="34" t="s">
        <v>16</v>
      </c>
      <c r="AC1" s="34" t="s">
        <v>17</v>
      </c>
    </row>
    <row r="2" spans="1:29" x14ac:dyDescent="0.35">
      <c r="A2" s="12"/>
      <c r="B2" s="4"/>
      <c r="C2" s="4"/>
      <c r="D2" s="18"/>
      <c r="E2" s="7" t="s">
        <v>18</v>
      </c>
      <c r="F2" s="7" t="s">
        <v>19</v>
      </c>
      <c r="G2" s="7" t="s">
        <v>20</v>
      </c>
      <c r="H2" s="32"/>
      <c r="I2" s="7" t="s">
        <v>18</v>
      </c>
      <c r="J2" s="7" t="s">
        <v>19</v>
      </c>
      <c r="K2" s="7" t="s">
        <v>20</v>
      </c>
      <c r="L2" s="32"/>
      <c r="M2" s="7" t="s">
        <v>18</v>
      </c>
      <c r="N2" s="7" t="s">
        <v>19</v>
      </c>
      <c r="O2" s="7" t="s">
        <v>20</v>
      </c>
      <c r="P2" s="32"/>
      <c r="Q2" s="7" t="s">
        <v>18</v>
      </c>
      <c r="R2" s="7" t="s">
        <v>19</v>
      </c>
      <c r="S2" s="7" t="s">
        <v>20</v>
      </c>
      <c r="T2" s="32"/>
      <c r="U2" s="7" t="s">
        <v>18</v>
      </c>
      <c r="V2" s="7" t="s">
        <v>19</v>
      </c>
      <c r="W2" s="7" t="s">
        <v>20</v>
      </c>
      <c r="X2" s="37"/>
      <c r="Y2" s="34"/>
      <c r="Z2" s="34"/>
      <c r="AA2" s="34"/>
      <c r="AB2" s="34"/>
      <c r="AC2" s="34"/>
    </row>
    <row r="3" spans="1:29" x14ac:dyDescent="0.35">
      <c r="A3" s="13">
        <v>0.6</v>
      </c>
      <c r="B3" s="3">
        <v>0.1</v>
      </c>
      <c r="C3" s="3">
        <v>0.18</v>
      </c>
      <c r="D3" s="19">
        <v>2.02</v>
      </c>
      <c r="E3" s="3">
        <v>0.05</v>
      </c>
      <c r="F3" s="3">
        <v>0.05</v>
      </c>
      <c r="G3" s="3">
        <v>0.05</v>
      </c>
      <c r="H3" s="3">
        <v>5.0000000000000001E-4</v>
      </c>
      <c r="I3" s="3">
        <v>1.6</v>
      </c>
      <c r="J3" s="3">
        <v>1.61</v>
      </c>
      <c r="K3" s="3">
        <v>1.64</v>
      </c>
      <c r="L3" s="3">
        <v>1.6166666999999999E-2</v>
      </c>
      <c r="M3" s="3">
        <v>1.31</v>
      </c>
      <c r="N3" s="3">
        <v>1.44</v>
      </c>
      <c r="O3" s="3">
        <v>1.37</v>
      </c>
      <c r="P3" s="3">
        <v>1.3733333E-2</v>
      </c>
      <c r="Q3" s="3">
        <v>1.31</v>
      </c>
      <c r="R3" s="3">
        <v>1.35</v>
      </c>
      <c r="S3" s="3">
        <v>1.37</v>
      </c>
      <c r="T3" s="3">
        <v>1.3433333E-2</v>
      </c>
      <c r="U3" s="3">
        <v>1.35</v>
      </c>
      <c r="V3" s="3">
        <v>1.34</v>
      </c>
      <c r="W3" s="3">
        <v>1.26</v>
      </c>
      <c r="X3" s="14">
        <v>1.3166667E-2</v>
      </c>
      <c r="Y3" s="15">
        <v>5.0025000000000004E-4</v>
      </c>
      <c r="Z3" s="5">
        <v>1.6432322999999999E-2</v>
      </c>
      <c r="AA3" s="5">
        <v>1.3924564E-2</v>
      </c>
      <c r="AB3" s="5">
        <v>1.3616245000000001E-2</v>
      </c>
      <c r="AC3" s="5">
        <v>1.3342341000000001E-2</v>
      </c>
    </row>
    <row r="4" spans="1:29" x14ac:dyDescent="0.35">
      <c r="A4" s="3">
        <v>0.62</v>
      </c>
      <c r="B4" s="3">
        <v>0.08</v>
      </c>
      <c r="C4" s="3">
        <v>0.3</v>
      </c>
      <c r="D4" s="19">
        <v>1.9</v>
      </c>
      <c r="E4" s="3">
        <v>1.35</v>
      </c>
      <c r="F4" s="3">
        <v>1.34</v>
      </c>
      <c r="G4" s="3">
        <v>1.26</v>
      </c>
      <c r="H4" s="3">
        <v>1.3166667E-2</v>
      </c>
      <c r="I4" s="3">
        <v>4.55</v>
      </c>
      <c r="J4" s="3">
        <v>4.38</v>
      </c>
      <c r="K4" s="3">
        <v>4.33</v>
      </c>
      <c r="L4" s="3">
        <v>4.4200000000000003E-2</v>
      </c>
      <c r="M4" s="3">
        <v>4.28</v>
      </c>
      <c r="N4" s="3">
        <v>4.7</v>
      </c>
      <c r="O4" s="3">
        <v>4.68</v>
      </c>
      <c r="P4" s="3">
        <v>4.5533333000000002E-2</v>
      </c>
      <c r="Q4" s="3">
        <v>4.07</v>
      </c>
      <c r="R4" s="3">
        <v>4.1900000000000004</v>
      </c>
      <c r="S4" s="3">
        <v>4.1900000000000004</v>
      </c>
      <c r="T4" s="3">
        <v>4.1500000000000002E-2</v>
      </c>
      <c r="U4" s="3">
        <v>4.2300000000000004</v>
      </c>
      <c r="V4" s="3">
        <v>4.24</v>
      </c>
      <c r="W4" s="3">
        <v>4.49</v>
      </c>
      <c r="X4" s="14">
        <v>4.3200000000000002E-2</v>
      </c>
      <c r="Y4" s="15">
        <v>1.3342341000000001E-2</v>
      </c>
      <c r="Z4" s="5">
        <v>4.6243984000000002E-2</v>
      </c>
      <c r="AA4" s="5">
        <v>4.7705524999999999E-2</v>
      </c>
      <c r="AB4" s="5">
        <v>4.3296818000000001E-2</v>
      </c>
      <c r="AC4" s="5">
        <v>4.5150502000000002E-2</v>
      </c>
    </row>
    <row r="5" spans="1:29" x14ac:dyDescent="0.35">
      <c r="A5" s="3">
        <v>0.53</v>
      </c>
      <c r="B5" s="3">
        <v>0.17</v>
      </c>
      <c r="C5" s="3">
        <v>0.28000000000000003</v>
      </c>
      <c r="D5" s="19">
        <v>1.92</v>
      </c>
      <c r="E5" s="3">
        <v>4.42</v>
      </c>
      <c r="F5" s="3">
        <v>4.4000000000000004</v>
      </c>
      <c r="G5" s="3">
        <v>4.33</v>
      </c>
      <c r="H5" s="3">
        <v>4.3833333000000002E-2</v>
      </c>
      <c r="I5" s="3">
        <v>1.75</v>
      </c>
      <c r="J5" s="3">
        <v>1.74</v>
      </c>
      <c r="K5" s="3">
        <v>1.84</v>
      </c>
      <c r="L5" s="3">
        <v>1.7766667E-2</v>
      </c>
      <c r="M5" s="3">
        <v>1.65</v>
      </c>
      <c r="N5" s="3">
        <v>1.92</v>
      </c>
      <c r="O5" s="3">
        <v>1.82</v>
      </c>
      <c r="P5" s="3">
        <v>1.7966666999999999E-2</v>
      </c>
      <c r="Q5" s="3">
        <v>1.57</v>
      </c>
      <c r="R5" s="3">
        <v>1.96</v>
      </c>
      <c r="S5" s="3">
        <v>1.81</v>
      </c>
      <c r="T5" s="3">
        <v>1.78E-2</v>
      </c>
      <c r="U5" s="3">
        <v>1.71</v>
      </c>
      <c r="V5" s="3">
        <v>1.65</v>
      </c>
      <c r="W5" s="3">
        <v>1.75</v>
      </c>
      <c r="X5" s="14">
        <v>1.7033333000000001E-2</v>
      </c>
      <c r="Y5" s="15">
        <v>4.5842775000000002E-2</v>
      </c>
      <c r="Z5" s="5">
        <v>1.8088031000000001E-2</v>
      </c>
      <c r="AA5" s="5">
        <v>1.8295374E-2</v>
      </c>
      <c r="AB5" s="5">
        <v>1.8122582000000002E-2</v>
      </c>
      <c r="AC5" s="5">
        <v>1.7328494999999999E-2</v>
      </c>
    </row>
    <row r="6" spans="1:29" x14ac:dyDescent="0.35">
      <c r="A6" s="3">
        <v>0.63</v>
      </c>
      <c r="B6" s="3">
        <v>7.0000000000000007E-2</v>
      </c>
      <c r="C6" s="3">
        <v>0.11</v>
      </c>
      <c r="D6" s="19">
        <v>2.09</v>
      </c>
      <c r="E6" s="3">
        <v>2</v>
      </c>
      <c r="F6" s="3">
        <v>1.86</v>
      </c>
      <c r="G6" s="3">
        <v>1.98</v>
      </c>
      <c r="H6" s="3">
        <v>1.9466667E-2</v>
      </c>
      <c r="I6" s="3">
        <v>1.1000000000000001</v>
      </c>
      <c r="J6" s="3">
        <v>1.06</v>
      </c>
      <c r="K6" s="3">
        <v>1.01</v>
      </c>
      <c r="L6" s="3">
        <v>1.0566667E-2</v>
      </c>
      <c r="M6" s="3">
        <v>1.1499999999999999</v>
      </c>
      <c r="N6" s="3">
        <v>1.43</v>
      </c>
      <c r="O6" s="3">
        <v>1.44</v>
      </c>
      <c r="P6" s="3">
        <v>1.34E-2</v>
      </c>
      <c r="Q6" s="3">
        <v>1.18</v>
      </c>
      <c r="R6" s="3">
        <v>1.47</v>
      </c>
      <c r="S6" s="3">
        <v>0.91</v>
      </c>
      <c r="T6" s="3">
        <v>1.1866666999999999E-2</v>
      </c>
      <c r="U6" s="3">
        <v>0.93</v>
      </c>
      <c r="V6" s="3">
        <v>1</v>
      </c>
      <c r="W6" s="3">
        <v>1.23</v>
      </c>
      <c r="X6" s="14">
        <v>1.0533333000000001E-2</v>
      </c>
      <c r="Y6" s="15">
        <v>1.9853141000000001E-2</v>
      </c>
      <c r="Z6" s="5">
        <v>1.0679513999999999E-2</v>
      </c>
      <c r="AA6" s="5">
        <v>1.3581999000000001E-2</v>
      </c>
      <c r="AB6" s="5">
        <v>1.2009176E-2</v>
      </c>
      <c r="AC6" s="5">
        <v>1.0645465999999999E-2</v>
      </c>
    </row>
    <row r="7" spans="1:29" x14ac:dyDescent="0.35">
      <c r="A7" s="3">
        <v>0.57999999999999996</v>
      </c>
      <c r="B7" s="3">
        <v>0.12</v>
      </c>
      <c r="C7" s="3">
        <v>0.24</v>
      </c>
      <c r="D7" s="19">
        <v>1.96</v>
      </c>
      <c r="E7" s="3">
        <v>0.93</v>
      </c>
      <c r="F7" s="3">
        <v>0.91</v>
      </c>
      <c r="G7" s="3">
        <v>4.21</v>
      </c>
      <c r="H7" s="3">
        <v>2.0166666999999999E-2</v>
      </c>
      <c r="I7" s="3">
        <v>2.13</v>
      </c>
      <c r="J7" s="3">
        <v>2.0499999999999998</v>
      </c>
      <c r="K7" s="3">
        <v>2.72</v>
      </c>
      <c r="L7" s="3">
        <v>2.3E-2</v>
      </c>
      <c r="M7" s="3">
        <v>2.17</v>
      </c>
      <c r="N7" s="3">
        <v>2.17</v>
      </c>
      <c r="O7" s="3">
        <v>2.79</v>
      </c>
      <c r="P7" s="3">
        <v>2.3766666999999998E-2</v>
      </c>
      <c r="Q7" s="3">
        <v>2.19</v>
      </c>
      <c r="R7" s="3">
        <v>2.88</v>
      </c>
      <c r="S7" s="3">
        <v>2.08</v>
      </c>
      <c r="T7" s="3">
        <v>2.3833333000000002E-2</v>
      </c>
      <c r="U7" s="3">
        <v>2.8</v>
      </c>
      <c r="V7" s="3">
        <v>2.82</v>
      </c>
      <c r="W7" s="3">
        <v>2.08</v>
      </c>
      <c r="X7" s="14">
        <v>2.5666667000000001E-2</v>
      </c>
      <c r="Y7" s="15">
        <v>2.0581731999999998E-2</v>
      </c>
      <c r="Z7" s="5">
        <v>2.3541453E-2</v>
      </c>
      <c r="AA7" s="5">
        <v>2.4345273000000001E-2</v>
      </c>
      <c r="AB7" s="5">
        <v>2.441523E-2</v>
      </c>
      <c r="AC7" s="5">
        <v>2.6342798000000001E-2</v>
      </c>
    </row>
    <row r="8" spans="1:29" x14ac:dyDescent="0.35">
      <c r="A8" s="3">
        <v>0.51</v>
      </c>
      <c r="B8" s="3">
        <v>0.19</v>
      </c>
      <c r="C8" s="3">
        <v>0.12</v>
      </c>
      <c r="D8" s="19">
        <v>2.08</v>
      </c>
      <c r="E8" s="3">
        <v>2</v>
      </c>
      <c r="F8" s="3">
        <v>1.93</v>
      </c>
      <c r="G8" s="3">
        <v>1.91</v>
      </c>
      <c r="H8" s="3">
        <v>1.9466667E-2</v>
      </c>
      <c r="I8" s="3">
        <v>0.54</v>
      </c>
      <c r="J8" s="3">
        <v>0.68</v>
      </c>
      <c r="K8" s="3">
        <v>0.5</v>
      </c>
      <c r="L8" s="3">
        <v>5.7333330000000002E-3</v>
      </c>
      <c r="M8" s="3">
        <v>0.51</v>
      </c>
      <c r="N8" s="3">
        <v>0.49</v>
      </c>
      <c r="O8" s="3">
        <v>0.48</v>
      </c>
      <c r="P8" s="3">
        <v>4.9333329999999998E-3</v>
      </c>
      <c r="Q8" s="3">
        <v>0.54</v>
      </c>
      <c r="R8" s="3">
        <v>0.49</v>
      </c>
      <c r="S8" s="3">
        <v>0.51</v>
      </c>
      <c r="T8" s="3">
        <v>5.1333330000000003E-3</v>
      </c>
      <c r="U8" s="3">
        <v>0.48</v>
      </c>
      <c r="V8" s="3">
        <v>0.5</v>
      </c>
      <c r="W8" s="3">
        <v>0.96</v>
      </c>
      <c r="X8" s="14">
        <v>6.4666669999999997E-3</v>
      </c>
      <c r="Y8" s="8">
        <v>1.9853141000000001E-2</v>
      </c>
      <c r="Z8" s="16">
        <v>5.7663940000000002E-3</v>
      </c>
      <c r="AA8" s="16">
        <v>4.9577919999999999E-3</v>
      </c>
      <c r="AB8" s="16">
        <v>5.1598199999999999E-3</v>
      </c>
      <c r="AC8" s="16">
        <v>6.5087570000000004E-3</v>
      </c>
    </row>
    <row r="9" spans="1:29" x14ac:dyDescent="0.35">
      <c r="A9" s="3">
        <v>0.55000000000000004</v>
      </c>
      <c r="B9" s="3">
        <v>0.15</v>
      </c>
      <c r="C9" s="3">
        <v>0.17</v>
      </c>
      <c r="D9" s="19">
        <v>2.0299999999999998</v>
      </c>
      <c r="E9" s="3">
        <v>0.26</v>
      </c>
      <c r="F9" s="3">
        <v>0.34</v>
      </c>
      <c r="G9" s="3">
        <v>0.36</v>
      </c>
      <c r="H9" s="3">
        <v>3.203333E-3</v>
      </c>
      <c r="I9" s="3">
        <v>1.88</v>
      </c>
      <c r="J9" s="3">
        <v>1.28</v>
      </c>
      <c r="K9" s="3">
        <v>1.26</v>
      </c>
      <c r="L9" s="3">
        <v>1.4733332999999999E-2</v>
      </c>
      <c r="M9" s="3">
        <v>1.5</v>
      </c>
      <c r="N9" s="3">
        <v>1.63</v>
      </c>
      <c r="O9" s="3">
        <v>1.4</v>
      </c>
      <c r="P9" s="3">
        <v>1.5100000000000001E-2</v>
      </c>
      <c r="Q9" s="3">
        <v>1.18</v>
      </c>
      <c r="R9" s="3">
        <v>1.1100000000000001</v>
      </c>
      <c r="S9" s="3">
        <v>0.95</v>
      </c>
      <c r="T9" s="3">
        <v>1.0800000000000001E-2</v>
      </c>
      <c r="U9" s="3">
        <v>0.9</v>
      </c>
      <c r="V9" s="3">
        <v>1.05</v>
      </c>
      <c r="W9" s="3">
        <v>1.1200000000000001</v>
      </c>
      <c r="X9" s="14">
        <v>1.0233333000000001E-2</v>
      </c>
      <c r="Y9" s="15">
        <v>3.2136280000000001E-3</v>
      </c>
      <c r="Z9" s="5">
        <v>1.4953650000000001E-2</v>
      </c>
      <c r="AA9" s="5">
        <v>1.5331506E-2</v>
      </c>
      <c r="AB9" s="5">
        <v>1.0917913E-2</v>
      </c>
      <c r="AC9" s="5">
        <v>1.0339137E-2</v>
      </c>
    </row>
    <row r="10" spans="1:29" x14ac:dyDescent="0.35">
      <c r="A10" s="3">
        <v>0.5</v>
      </c>
      <c r="B10" s="3">
        <v>0.2</v>
      </c>
      <c r="C10" s="3">
        <v>0.2</v>
      </c>
      <c r="D10" s="19">
        <v>2</v>
      </c>
      <c r="E10" s="3">
        <v>1.33</v>
      </c>
      <c r="F10" s="3">
        <v>1.37</v>
      </c>
      <c r="G10" s="3">
        <v>1.17</v>
      </c>
      <c r="H10" s="3">
        <v>1.29E-2</v>
      </c>
      <c r="I10" s="3">
        <v>0.98</v>
      </c>
      <c r="J10" s="3">
        <v>0.93</v>
      </c>
      <c r="K10" s="3">
        <v>1.1499999999999999</v>
      </c>
      <c r="L10" s="3">
        <v>1.0183332999999999E-2</v>
      </c>
      <c r="M10" s="3">
        <v>1.1200000000000001</v>
      </c>
      <c r="N10" s="3">
        <v>1.08</v>
      </c>
      <c r="O10" s="3">
        <v>1.05</v>
      </c>
      <c r="P10" s="3">
        <v>1.0833333000000001E-2</v>
      </c>
      <c r="Q10" s="3">
        <v>1.01</v>
      </c>
      <c r="R10" s="3">
        <v>1.99</v>
      </c>
      <c r="S10" s="3">
        <v>1.2</v>
      </c>
      <c r="T10" s="3">
        <v>1.4E-2</v>
      </c>
      <c r="U10" s="3">
        <v>0.98</v>
      </c>
      <c r="V10" s="3">
        <v>0.95</v>
      </c>
      <c r="W10" s="3">
        <v>1.51</v>
      </c>
      <c r="X10" s="14">
        <v>1.1466667E-2</v>
      </c>
      <c r="Y10" s="15">
        <v>1.3068585000000001E-2</v>
      </c>
      <c r="Z10" s="5">
        <v>1.02881E-2</v>
      </c>
      <c r="AA10" s="5">
        <v>1.095198E-2</v>
      </c>
      <c r="AB10" s="5">
        <v>1.4198783E-2</v>
      </c>
      <c r="AC10" s="5">
        <v>1.1599676E-2</v>
      </c>
    </row>
    <row r="11" spans="1:29" x14ac:dyDescent="0.35">
      <c r="A11" s="3">
        <v>0.55000000000000004</v>
      </c>
      <c r="B11" s="3">
        <v>0.15</v>
      </c>
      <c r="C11" s="3">
        <v>0.15</v>
      </c>
      <c r="D11" s="19">
        <v>2.0499999999999998</v>
      </c>
      <c r="E11" s="3">
        <v>1.29</v>
      </c>
      <c r="F11" s="3">
        <v>0.92</v>
      </c>
      <c r="G11" s="3">
        <v>1.4</v>
      </c>
      <c r="H11" s="3">
        <v>1.2033333E-2</v>
      </c>
      <c r="I11" s="3">
        <v>0.89</v>
      </c>
      <c r="J11" s="3">
        <v>0.72</v>
      </c>
      <c r="K11" s="3">
        <v>0.88</v>
      </c>
      <c r="L11" s="3">
        <v>8.3000000000000001E-3</v>
      </c>
      <c r="M11" s="3">
        <v>1.31</v>
      </c>
      <c r="N11" s="3">
        <v>1.34</v>
      </c>
      <c r="O11" s="3">
        <v>0.67</v>
      </c>
      <c r="P11" s="3">
        <v>1.1066667000000001E-2</v>
      </c>
      <c r="Q11" s="3">
        <v>0.91</v>
      </c>
      <c r="R11" s="3">
        <v>0.87</v>
      </c>
      <c r="S11" s="3">
        <v>1.31</v>
      </c>
      <c r="T11" s="3">
        <v>1.03E-2</v>
      </c>
      <c r="U11" s="3">
        <v>0.66</v>
      </c>
      <c r="V11" s="3">
        <v>0.65</v>
      </c>
      <c r="W11" s="3">
        <v>0.64</v>
      </c>
      <c r="X11" s="14">
        <v>6.483333E-3</v>
      </c>
      <c r="Y11" s="15">
        <v>1.2179898E-2</v>
      </c>
      <c r="Z11" s="5">
        <v>8.3694670000000002E-3</v>
      </c>
      <c r="AA11" s="5">
        <v>1.1190508E-2</v>
      </c>
      <c r="AB11" s="5">
        <v>1.0407194E-2</v>
      </c>
      <c r="AC11" s="5">
        <v>6.5256410000000004E-3</v>
      </c>
    </row>
    <row r="12" spans="1:29" x14ac:dyDescent="0.35">
      <c r="A12" s="3">
        <v>0.67</v>
      </c>
      <c r="B12" s="3">
        <v>0.03</v>
      </c>
      <c r="C12" s="3">
        <v>0.22</v>
      </c>
      <c r="D12" s="19">
        <v>1.98</v>
      </c>
      <c r="E12" s="3">
        <v>0.84</v>
      </c>
      <c r="F12" s="3">
        <v>0.84</v>
      </c>
      <c r="G12" s="3">
        <v>0.79</v>
      </c>
      <c r="H12" s="3">
        <v>8.2299999999999995E-3</v>
      </c>
      <c r="I12" s="3">
        <v>4.45</v>
      </c>
      <c r="J12" s="3">
        <v>4.43</v>
      </c>
      <c r="K12" s="3">
        <v>5.6</v>
      </c>
      <c r="L12" s="3">
        <v>4.8266666999999999E-2</v>
      </c>
      <c r="M12" s="3">
        <v>4.5</v>
      </c>
      <c r="N12" s="3">
        <v>5.67</v>
      </c>
      <c r="O12" s="3">
        <v>4.3600000000000003</v>
      </c>
      <c r="P12" s="3">
        <v>4.8433333000000002E-2</v>
      </c>
      <c r="Q12" s="3">
        <v>5.6</v>
      </c>
      <c r="R12" s="3">
        <v>4.5199999999999996</v>
      </c>
      <c r="S12" s="3">
        <v>4.58</v>
      </c>
      <c r="T12" s="3">
        <v>4.9000000000000002E-2</v>
      </c>
      <c r="U12" s="3">
        <v>4.42</v>
      </c>
      <c r="V12" s="3">
        <v>4.8099999999999996</v>
      </c>
      <c r="W12" s="3">
        <v>4.3</v>
      </c>
      <c r="X12" s="14">
        <v>4.5100000000000001E-2</v>
      </c>
      <c r="Y12" s="15">
        <v>8.2982950000000007E-3</v>
      </c>
      <c r="Z12" s="5">
        <v>5.0714486000000003E-2</v>
      </c>
      <c r="AA12" s="5">
        <v>5.0898517999999997E-2</v>
      </c>
      <c r="AB12" s="5">
        <v>5.1524711000000001E-2</v>
      </c>
      <c r="AC12" s="5">
        <v>4.7230076000000003E-2</v>
      </c>
    </row>
    <row r="13" spans="1:29" x14ac:dyDescent="0.35">
      <c r="A13" s="3">
        <v>0.6</v>
      </c>
      <c r="B13" s="3">
        <v>0.1</v>
      </c>
      <c r="C13" s="3">
        <v>0.28999999999999998</v>
      </c>
      <c r="D13" s="19">
        <v>1.91</v>
      </c>
      <c r="E13" s="3">
        <v>4.41</v>
      </c>
      <c r="F13" s="3">
        <v>4.4400000000000004</v>
      </c>
      <c r="G13" s="3">
        <v>5.54</v>
      </c>
      <c r="H13" s="3">
        <v>4.7966666999999998E-2</v>
      </c>
      <c r="I13" s="3">
        <v>4.84</v>
      </c>
      <c r="J13" s="3">
        <v>4.83</v>
      </c>
      <c r="K13" s="3">
        <v>4.6900000000000004</v>
      </c>
      <c r="L13" s="3">
        <v>4.7866667000000002E-2</v>
      </c>
      <c r="M13" s="3">
        <v>4.95</v>
      </c>
      <c r="N13" s="3">
        <v>4.97</v>
      </c>
      <c r="O13" s="3">
        <v>4.78</v>
      </c>
      <c r="P13" s="3">
        <v>4.9000000000000002E-2</v>
      </c>
      <c r="Q13" s="3">
        <v>5.12</v>
      </c>
      <c r="R13" s="3">
        <v>5.16</v>
      </c>
      <c r="S13" s="3">
        <v>5.35</v>
      </c>
      <c r="T13" s="3">
        <v>5.21E-2</v>
      </c>
      <c r="U13" s="3">
        <v>4.91</v>
      </c>
      <c r="V13" s="3">
        <v>5.19</v>
      </c>
      <c r="W13" s="3">
        <v>4.93</v>
      </c>
      <c r="X13" s="14">
        <v>5.0099999999999999E-2</v>
      </c>
      <c r="Y13" s="15">
        <v>5.038339E-2</v>
      </c>
      <c r="Z13" s="5">
        <v>5.0273071000000003E-2</v>
      </c>
      <c r="AA13" s="5">
        <v>5.1524711000000001E-2</v>
      </c>
      <c r="AB13" s="5">
        <v>5.4963603999999999E-2</v>
      </c>
      <c r="AC13" s="5">
        <v>5.2742393999999998E-2</v>
      </c>
    </row>
    <row r="14" spans="1:29" x14ac:dyDescent="0.35">
      <c r="A14" s="3">
        <v>0.68</v>
      </c>
      <c r="B14" s="3">
        <v>0.02</v>
      </c>
      <c r="C14" s="3">
        <v>0.15</v>
      </c>
      <c r="D14" s="19">
        <v>2.0499999999999998</v>
      </c>
      <c r="E14" s="3">
        <v>7.37</v>
      </c>
      <c r="F14" s="3">
        <v>7.23</v>
      </c>
      <c r="G14" s="3">
        <v>7.2</v>
      </c>
      <c r="H14" s="3">
        <v>7.2666667000000004E-2</v>
      </c>
      <c r="I14" s="3">
        <v>4.34</v>
      </c>
      <c r="J14" s="3">
        <v>4.16</v>
      </c>
      <c r="K14" s="3">
        <v>4.16</v>
      </c>
      <c r="L14" s="3">
        <v>4.2200000000000001E-2</v>
      </c>
      <c r="M14" s="3">
        <v>6.58</v>
      </c>
      <c r="N14" s="3">
        <v>5.59</v>
      </c>
      <c r="O14" s="3">
        <v>4.12</v>
      </c>
      <c r="P14" s="3">
        <v>5.4300000000000001E-2</v>
      </c>
      <c r="Q14" s="3">
        <v>4.25</v>
      </c>
      <c r="R14" s="3">
        <v>4.22</v>
      </c>
      <c r="S14" s="3">
        <v>4.6100000000000003</v>
      </c>
      <c r="T14" s="3">
        <v>4.36E-2</v>
      </c>
      <c r="U14" s="3">
        <v>4.07</v>
      </c>
      <c r="V14" s="3">
        <v>4.05</v>
      </c>
      <c r="W14" s="3">
        <v>3.86</v>
      </c>
      <c r="X14" s="14">
        <v>3.9933333000000001E-2</v>
      </c>
      <c r="Y14" s="15">
        <v>7.8360891000000002E-2</v>
      </c>
      <c r="Z14" s="5">
        <v>4.4059303000000001E-2</v>
      </c>
      <c r="AA14" s="5">
        <v>5.7417785999999998E-2</v>
      </c>
      <c r="AB14" s="5">
        <v>4.5587620000000002E-2</v>
      </c>
      <c r="AC14" s="5">
        <v>4.1594333999999997E-2</v>
      </c>
    </row>
    <row r="15" spans="1:29" x14ac:dyDescent="0.35">
      <c r="A15" s="3">
        <v>0.7</v>
      </c>
      <c r="B15" s="3">
        <v>0</v>
      </c>
      <c r="C15" s="3">
        <v>0.19</v>
      </c>
      <c r="D15" s="19">
        <v>2.0099999999999998</v>
      </c>
      <c r="E15" s="3">
        <v>2.04</v>
      </c>
      <c r="F15" s="3">
        <v>2.0699999999999998</v>
      </c>
      <c r="G15" s="3">
        <v>2.99</v>
      </c>
      <c r="H15" s="3">
        <v>2.3666666999999999E-2</v>
      </c>
      <c r="I15" s="3">
        <v>6.97</v>
      </c>
      <c r="J15" s="3">
        <v>6.9</v>
      </c>
      <c r="K15" s="3">
        <v>6.88</v>
      </c>
      <c r="L15" s="3">
        <v>6.9166667000000001E-2</v>
      </c>
      <c r="M15" s="3">
        <v>6.44</v>
      </c>
      <c r="N15" s="3">
        <v>7.78</v>
      </c>
      <c r="O15" s="3">
        <v>6.4</v>
      </c>
      <c r="P15" s="3">
        <v>6.8733332999999994E-2</v>
      </c>
      <c r="Q15" s="3">
        <v>6.1</v>
      </c>
      <c r="R15" s="3">
        <v>6.15</v>
      </c>
      <c r="S15" s="3">
        <v>6.06</v>
      </c>
      <c r="T15" s="3">
        <v>6.1033333000000002E-2</v>
      </c>
      <c r="U15" s="3">
        <v>6.16</v>
      </c>
      <c r="V15" s="3">
        <v>6.11</v>
      </c>
      <c r="W15" s="3">
        <v>5.8</v>
      </c>
      <c r="X15" s="14">
        <v>6.0233333E-2</v>
      </c>
      <c r="Y15" s="15">
        <v>2.4240355000000002E-2</v>
      </c>
      <c r="Z15" s="5">
        <v>7.4306177000000001E-2</v>
      </c>
      <c r="AA15" s="5">
        <v>7.3806284999999999E-2</v>
      </c>
      <c r="AB15" s="5">
        <v>6.5000532999999999E-2</v>
      </c>
      <c r="AC15" s="5">
        <v>6.4093923999999997E-2</v>
      </c>
    </row>
    <row r="16" spans="1:29" x14ac:dyDescent="0.35">
      <c r="A16" s="3">
        <v>0.69</v>
      </c>
      <c r="B16" s="3">
        <v>0.01</v>
      </c>
      <c r="C16" s="3">
        <v>0.15</v>
      </c>
      <c r="D16" s="19">
        <v>2.0499999999999998</v>
      </c>
      <c r="E16" s="3">
        <v>6.84</v>
      </c>
      <c r="F16" s="3">
        <v>6.43</v>
      </c>
      <c r="G16" s="3">
        <v>6.81</v>
      </c>
      <c r="H16" s="3">
        <v>6.6933332999999998E-2</v>
      </c>
      <c r="I16" s="3">
        <v>5.98</v>
      </c>
      <c r="J16" s="3">
        <v>5.97</v>
      </c>
      <c r="K16" s="3">
        <v>5.48</v>
      </c>
      <c r="L16" s="3">
        <v>5.8099999999999999E-2</v>
      </c>
      <c r="M16" s="3">
        <v>5.41</v>
      </c>
      <c r="N16" s="3">
        <v>5.37</v>
      </c>
      <c r="O16" s="3">
        <v>5.84</v>
      </c>
      <c r="P16" s="3">
        <v>5.5399999999999998E-2</v>
      </c>
      <c r="Q16" s="3">
        <v>5.24</v>
      </c>
      <c r="R16" s="3">
        <v>4.78</v>
      </c>
      <c r="S16" s="3">
        <v>5.27</v>
      </c>
      <c r="T16" s="3">
        <v>5.0966667E-2</v>
      </c>
      <c r="U16" s="3">
        <v>5.25</v>
      </c>
      <c r="V16" s="3">
        <v>5.31</v>
      </c>
      <c r="W16" s="3">
        <v>5.91</v>
      </c>
      <c r="X16" s="14">
        <v>5.4899999999999997E-2</v>
      </c>
      <c r="Y16" s="15">
        <v>7.1734780999999997E-2</v>
      </c>
      <c r="Z16" s="5">
        <v>6.1683831000000001E-2</v>
      </c>
      <c r="AA16" s="5">
        <v>5.8649163999999997E-2</v>
      </c>
      <c r="AB16" s="5">
        <v>5.3703768999999998E-2</v>
      </c>
      <c r="AC16" s="5">
        <v>5.8089091000000002E-2</v>
      </c>
    </row>
    <row r="17" spans="1:29" x14ac:dyDescent="0.35">
      <c r="A17" s="3">
        <v>0.57999999999999996</v>
      </c>
      <c r="B17" s="3">
        <v>0.12</v>
      </c>
      <c r="C17" s="3">
        <v>0.12</v>
      </c>
      <c r="D17" s="19">
        <v>2.08</v>
      </c>
      <c r="E17" s="3">
        <v>2.54</v>
      </c>
      <c r="F17" s="3">
        <v>2.46</v>
      </c>
      <c r="G17" s="3">
        <v>2.2000000000000002</v>
      </c>
      <c r="H17" s="3">
        <v>2.4E-2</v>
      </c>
      <c r="I17" s="3">
        <v>0.6</v>
      </c>
      <c r="J17" s="3">
        <v>0.64</v>
      </c>
      <c r="K17" s="3">
        <v>0.6</v>
      </c>
      <c r="L17" s="3">
        <v>6.1333330000000004E-3</v>
      </c>
      <c r="M17" s="3">
        <v>0.56000000000000005</v>
      </c>
      <c r="N17" s="3">
        <v>0.59</v>
      </c>
      <c r="O17" s="3">
        <v>0.57999999999999996</v>
      </c>
      <c r="P17" s="3">
        <v>5.7666669999999996E-3</v>
      </c>
      <c r="Q17" s="3">
        <v>0.57999999999999996</v>
      </c>
      <c r="R17" s="3">
        <v>0.56999999999999995</v>
      </c>
      <c r="S17" s="3">
        <v>0.59</v>
      </c>
      <c r="T17" s="3">
        <v>5.7999999999999996E-3</v>
      </c>
      <c r="U17" s="3">
        <v>0.54</v>
      </c>
      <c r="V17" s="3">
        <v>0.56000000000000005</v>
      </c>
      <c r="W17" s="3">
        <v>0.52</v>
      </c>
      <c r="X17" s="14">
        <v>5.4000000000000003E-3</v>
      </c>
      <c r="Y17" s="15">
        <v>2.4590164000000001E-2</v>
      </c>
      <c r="Z17" s="5">
        <v>6.1711830000000002E-3</v>
      </c>
      <c r="AA17" s="5">
        <v>5.8001140000000003E-3</v>
      </c>
      <c r="AB17" s="5">
        <v>5.8338360000000002E-3</v>
      </c>
      <c r="AC17" s="5">
        <v>5.4293179999999998E-3</v>
      </c>
    </row>
    <row r="18" spans="1:29" x14ac:dyDescent="0.35">
      <c r="A18" s="3">
        <v>0.67</v>
      </c>
      <c r="B18" s="3">
        <v>0.03</v>
      </c>
      <c r="C18" s="3">
        <v>0.11</v>
      </c>
      <c r="D18" s="19">
        <v>2.09</v>
      </c>
      <c r="E18" s="3">
        <v>0.73</v>
      </c>
      <c r="F18" s="3">
        <v>0.68</v>
      </c>
      <c r="G18" s="3">
        <v>0.67</v>
      </c>
      <c r="H18" s="3">
        <v>6.9333329999999999E-3</v>
      </c>
      <c r="I18" s="3">
        <v>1.75</v>
      </c>
      <c r="J18" s="3">
        <v>1.47</v>
      </c>
      <c r="K18" s="3">
        <v>1.41</v>
      </c>
      <c r="L18" s="3">
        <v>1.5433333E-2</v>
      </c>
      <c r="M18" s="3">
        <v>2.06</v>
      </c>
      <c r="N18" s="3">
        <v>2.4700000000000002</v>
      </c>
      <c r="O18" s="3">
        <v>1.84</v>
      </c>
      <c r="P18" s="3">
        <v>2.1233333E-2</v>
      </c>
      <c r="Q18" s="3">
        <v>1.51</v>
      </c>
      <c r="R18" s="3">
        <v>1.72</v>
      </c>
      <c r="S18" s="3">
        <v>1.79</v>
      </c>
      <c r="T18" s="3">
        <v>1.6733333E-2</v>
      </c>
      <c r="U18" s="3">
        <v>1.42</v>
      </c>
      <c r="V18" s="3">
        <v>1.4</v>
      </c>
      <c r="W18" s="3">
        <v>1.36</v>
      </c>
      <c r="X18" s="14">
        <v>1.3933332999999999E-2</v>
      </c>
      <c r="Y18" s="15">
        <v>6.9817400000000002E-3</v>
      </c>
      <c r="Z18" s="5">
        <v>1.5675254999999999E-2</v>
      </c>
      <c r="AA18" s="5">
        <v>2.1693969E-2</v>
      </c>
      <c r="AB18" s="5">
        <v>1.7018103E-2</v>
      </c>
      <c r="AC18" s="5">
        <v>1.4130214E-2</v>
      </c>
    </row>
    <row r="19" spans="1:29" x14ac:dyDescent="0.35">
      <c r="A19" s="3">
        <v>0.61</v>
      </c>
      <c r="B19" s="3">
        <v>0.09</v>
      </c>
      <c r="C19" s="3">
        <v>0.18</v>
      </c>
      <c r="D19" s="19">
        <v>2.02</v>
      </c>
      <c r="E19" s="3">
        <v>1.48</v>
      </c>
      <c r="F19" s="3">
        <v>1.41</v>
      </c>
      <c r="G19" s="3">
        <v>2.67</v>
      </c>
      <c r="H19" s="3">
        <v>1.8533332999999999E-2</v>
      </c>
      <c r="I19" s="3">
        <v>1.69</v>
      </c>
      <c r="J19" s="3">
        <v>1.68</v>
      </c>
      <c r="K19" s="3">
        <v>2.57</v>
      </c>
      <c r="L19" s="3">
        <v>1.9800000000000002E-2</v>
      </c>
      <c r="M19" s="3">
        <v>3.38</v>
      </c>
      <c r="N19" s="3">
        <v>1.6</v>
      </c>
      <c r="O19" s="3">
        <v>2.15</v>
      </c>
      <c r="P19" s="3">
        <v>2.3766666999999998E-2</v>
      </c>
      <c r="Q19" s="3">
        <v>1.85</v>
      </c>
      <c r="R19" s="3">
        <v>1.49</v>
      </c>
      <c r="S19" s="3">
        <v>1.56</v>
      </c>
      <c r="T19" s="3">
        <v>1.6333332999999998E-2</v>
      </c>
      <c r="U19" s="3">
        <v>1.56</v>
      </c>
      <c r="V19" s="3">
        <v>1.64</v>
      </c>
      <c r="W19" s="3">
        <v>1.54</v>
      </c>
      <c r="X19" s="14">
        <v>1.5800000000000002E-2</v>
      </c>
      <c r="Y19" s="8">
        <v>1.8883304E-2</v>
      </c>
      <c r="Z19" s="16">
        <v>2.0199959E-2</v>
      </c>
      <c r="AA19" s="16">
        <v>2.4345273000000001E-2</v>
      </c>
      <c r="AB19" s="16">
        <v>1.6604541E-2</v>
      </c>
      <c r="AC19" s="16">
        <v>1.6053648E-2</v>
      </c>
    </row>
    <row r="20" spans="1:29" x14ac:dyDescent="0.35">
      <c r="A20" s="3">
        <v>0.65</v>
      </c>
      <c r="B20" s="3">
        <v>0.05</v>
      </c>
      <c r="C20" s="3">
        <v>0.23</v>
      </c>
      <c r="D20" s="19">
        <v>1.97</v>
      </c>
      <c r="E20" s="3">
        <v>1.96</v>
      </c>
      <c r="F20" s="3">
        <v>1.66</v>
      </c>
      <c r="G20" s="3">
        <v>2.25</v>
      </c>
      <c r="H20" s="3">
        <v>1.9566666999999999E-2</v>
      </c>
      <c r="I20" s="3">
        <v>2.7</v>
      </c>
      <c r="J20" s="3">
        <v>4.41</v>
      </c>
      <c r="K20" s="3">
        <v>4.17</v>
      </c>
      <c r="L20" s="3">
        <v>3.7600000000000001E-2</v>
      </c>
      <c r="M20" s="3">
        <v>3.97</v>
      </c>
      <c r="N20" s="3">
        <v>4.3600000000000003</v>
      </c>
      <c r="O20" s="3">
        <v>5.55</v>
      </c>
      <c r="P20" s="3">
        <v>4.6266666999999997E-2</v>
      </c>
      <c r="Q20" s="3">
        <v>4.01</v>
      </c>
      <c r="R20" s="3">
        <v>3.99</v>
      </c>
      <c r="S20" s="3">
        <v>3.91</v>
      </c>
      <c r="T20" s="3">
        <v>3.9699999999999999E-2</v>
      </c>
      <c r="U20" s="3">
        <v>3.6</v>
      </c>
      <c r="V20" s="3">
        <v>3.87</v>
      </c>
      <c r="W20" s="3">
        <v>3.83</v>
      </c>
      <c r="X20" s="14">
        <v>3.7666667000000001E-2</v>
      </c>
      <c r="Y20" s="15">
        <v>1.9957162000000001E-2</v>
      </c>
      <c r="Z20" s="5">
        <v>3.9068994000000003E-2</v>
      </c>
      <c r="AA20" s="5">
        <v>4.8511114000000001E-2</v>
      </c>
      <c r="AB20" s="5">
        <v>4.1341247999999997E-2</v>
      </c>
      <c r="AC20" s="5">
        <v>3.9140977E-2</v>
      </c>
    </row>
    <row r="21" spans="1:29" x14ac:dyDescent="0.35">
      <c r="A21" s="3">
        <v>0.68</v>
      </c>
      <c r="B21" s="3">
        <v>0.02</v>
      </c>
      <c r="C21" s="3">
        <v>0.22</v>
      </c>
      <c r="D21" s="19">
        <v>1.98</v>
      </c>
      <c r="E21" s="3">
        <v>3.72</v>
      </c>
      <c r="F21" s="3">
        <v>3.57</v>
      </c>
      <c r="G21" s="3">
        <v>3.83</v>
      </c>
      <c r="H21" s="3">
        <v>3.7066666999999998E-2</v>
      </c>
      <c r="I21" s="3">
        <v>4.38</v>
      </c>
      <c r="J21" s="3">
        <v>4.1500000000000004</v>
      </c>
      <c r="K21" s="3">
        <v>4.13</v>
      </c>
      <c r="L21" s="3">
        <v>4.2200000000000001E-2</v>
      </c>
      <c r="M21" s="3">
        <v>3.37</v>
      </c>
      <c r="N21" s="3">
        <v>4.25</v>
      </c>
      <c r="O21" s="3">
        <v>4.1399999999999997</v>
      </c>
      <c r="P21" s="3">
        <v>3.9199999999999999E-2</v>
      </c>
      <c r="Q21" s="3">
        <v>4.13</v>
      </c>
      <c r="R21" s="3">
        <v>3.95</v>
      </c>
      <c r="S21" s="3">
        <v>4.18</v>
      </c>
      <c r="T21" s="3">
        <v>4.0866667000000002E-2</v>
      </c>
      <c r="U21" s="3">
        <v>4.0999999999999996</v>
      </c>
      <c r="V21" s="3">
        <v>4.08</v>
      </c>
      <c r="W21" s="3">
        <v>3.88</v>
      </c>
      <c r="X21" s="14">
        <v>4.02E-2</v>
      </c>
      <c r="Y21" s="15">
        <v>3.8493491999999997E-2</v>
      </c>
      <c r="Z21" s="5">
        <v>4.4059303000000001E-2</v>
      </c>
      <c r="AA21" s="5">
        <v>4.0799334E-2</v>
      </c>
      <c r="AB21" s="5">
        <v>4.2607909999999999E-2</v>
      </c>
      <c r="AC21" s="5">
        <v>4.1883726000000003E-2</v>
      </c>
    </row>
    <row r="22" spans="1:29" x14ac:dyDescent="0.35">
      <c r="A22" s="3">
        <v>0.56000000000000005</v>
      </c>
      <c r="B22" s="3">
        <v>0.14000000000000001</v>
      </c>
      <c r="C22" s="3">
        <v>0.25</v>
      </c>
      <c r="D22" s="19">
        <v>1.95</v>
      </c>
      <c r="E22" s="3">
        <v>3.99</v>
      </c>
      <c r="F22" s="3">
        <v>3.85</v>
      </c>
      <c r="G22" s="3">
        <v>3.89</v>
      </c>
      <c r="H22" s="3">
        <v>3.9100000000000003E-2</v>
      </c>
      <c r="I22" s="3">
        <v>2.0299999999999998</v>
      </c>
      <c r="J22" s="3">
        <v>1.61</v>
      </c>
      <c r="K22" s="3">
        <v>4.0199999999999996</v>
      </c>
      <c r="L22" s="3">
        <v>2.5536666999999999E-2</v>
      </c>
      <c r="M22" s="3">
        <v>2.77</v>
      </c>
      <c r="N22" s="3">
        <v>2.94</v>
      </c>
      <c r="O22" s="3">
        <v>4.3600000000000003</v>
      </c>
      <c r="P22" s="3">
        <v>3.3566667000000001E-2</v>
      </c>
      <c r="Q22" s="3">
        <v>1.85</v>
      </c>
      <c r="R22" s="3">
        <v>1.82</v>
      </c>
      <c r="S22" s="3">
        <v>1.97</v>
      </c>
      <c r="T22" s="3">
        <v>1.8800000000000001E-2</v>
      </c>
      <c r="U22" s="3">
        <v>1.93</v>
      </c>
      <c r="V22" s="3">
        <v>1.82</v>
      </c>
      <c r="W22" s="3">
        <v>1.32</v>
      </c>
      <c r="X22" s="14">
        <v>1.6899999999999998E-2</v>
      </c>
      <c r="Y22" s="15">
        <v>4.0691019000000002E-2</v>
      </c>
      <c r="Z22" s="5">
        <v>2.6205876999999999E-2</v>
      </c>
      <c r="AA22" s="5">
        <v>3.4732522000000002E-2</v>
      </c>
      <c r="AB22" s="5">
        <v>1.9160211999999999E-2</v>
      </c>
      <c r="AC22" s="5">
        <v>1.7190520000000001E-2</v>
      </c>
    </row>
    <row r="23" spans="1:29" x14ac:dyDescent="0.35">
      <c r="A23" s="3">
        <v>0.59</v>
      </c>
      <c r="B23" s="3">
        <v>0.11</v>
      </c>
      <c r="C23" s="3">
        <v>0.26</v>
      </c>
      <c r="D23" s="19">
        <v>1.94</v>
      </c>
      <c r="E23" s="3">
        <v>2.4900000000000002</v>
      </c>
      <c r="F23" s="3">
        <v>2.2599999999999998</v>
      </c>
      <c r="G23" s="3">
        <v>4.0599999999999996</v>
      </c>
      <c r="H23" s="3">
        <v>2.9366666999999999E-2</v>
      </c>
      <c r="I23" s="3">
        <v>3.12</v>
      </c>
      <c r="J23" s="3">
        <v>2.91</v>
      </c>
      <c r="K23" s="3">
        <v>4.01</v>
      </c>
      <c r="L23" s="3">
        <v>3.3466666999999999E-2</v>
      </c>
      <c r="M23" s="3">
        <v>5.14</v>
      </c>
      <c r="N23" s="3">
        <v>4.4800000000000004</v>
      </c>
      <c r="O23" s="3">
        <v>2.81</v>
      </c>
      <c r="P23" s="3">
        <v>4.1433333000000003E-2</v>
      </c>
      <c r="Q23" s="3">
        <v>2.89</v>
      </c>
      <c r="R23" s="3">
        <v>2.83</v>
      </c>
      <c r="S23" s="3">
        <v>2.82</v>
      </c>
      <c r="T23" s="3">
        <v>2.8466667000000001E-2</v>
      </c>
      <c r="U23" s="3">
        <v>2.99</v>
      </c>
      <c r="V23" s="3">
        <v>3.5</v>
      </c>
      <c r="W23" s="3">
        <v>2.75</v>
      </c>
      <c r="X23" s="14">
        <v>3.0800000000000001E-2</v>
      </c>
      <c r="Y23" s="15">
        <v>3.025516E-2</v>
      </c>
      <c r="Z23" s="5">
        <v>3.4625466000000001E-2</v>
      </c>
      <c r="AA23" s="5">
        <v>4.3224258000000002E-2</v>
      </c>
      <c r="AB23" s="5">
        <v>2.9300762000000001E-2</v>
      </c>
      <c r="AC23" s="5">
        <v>3.1778787000000003E-2</v>
      </c>
    </row>
    <row r="24" spans="1:29" x14ac:dyDescent="0.35">
      <c r="A24" s="3">
        <v>0.53</v>
      </c>
      <c r="B24" s="3">
        <v>0.17</v>
      </c>
      <c r="C24" s="3">
        <v>0.14000000000000001</v>
      </c>
      <c r="D24" s="19">
        <v>2.06</v>
      </c>
      <c r="E24" s="3">
        <v>3.22</v>
      </c>
      <c r="F24" s="3">
        <v>3.19</v>
      </c>
      <c r="G24" s="3">
        <v>3.04</v>
      </c>
      <c r="H24" s="3">
        <v>3.15E-2</v>
      </c>
      <c r="I24" s="3">
        <v>0.7</v>
      </c>
      <c r="J24" s="3">
        <v>0.79</v>
      </c>
      <c r="K24" s="3">
        <v>0.81</v>
      </c>
      <c r="L24" s="3">
        <v>7.6666670000000003E-3</v>
      </c>
      <c r="M24" s="3">
        <v>2.44</v>
      </c>
      <c r="N24" s="3">
        <v>2.92</v>
      </c>
      <c r="O24" s="3">
        <v>0.75</v>
      </c>
      <c r="P24" s="3">
        <v>2.0366667000000001E-2</v>
      </c>
      <c r="Q24" s="3">
        <v>0.8</v>
      </c>
      <c r="R24" s="3">
        <v>0.95</v>
      </c>
      <c r="S24" s="3">
        <v>1.45</v>
      </c>
      <c r="T24" s="3">
        <v>1.0666666999999999E-2</v>
      </c>
      <c r="U24" s="3">
        <v>0.79</v>
      </c>
      <c r="V24" s="3">
        <v>0.8</v>
      </c>
      <c r="W24" s="3">
        <v>0.68</v>
      </c>
      <c r="X24" s="14">
        <v>7.566667E-3</v>
      </c>
      <c r="Y24" s="15">
        <v>3.2524522E-2</v>
      </c>
      <c r="Z24" s="5">
        <v>7.7258989999999996E-3</v>
      </c>
      <c r="AA24" s="5">
        <v>2.0790092E-2</v>
      </c>
      <c r="AB24" s="5">
        <v>1.0781671E-2</v>
      </c>
      <c r="AC24" s="5">
        <v>7.6243580000000004E-3</v>
      </c>
    </row>
    <row r="25" spans="1:29" x14ac:dyDescent="0.35">
      <c r="A25" s="3">
        <v>0.64</v>
      </c>
      <c r="B25" s="3">
        <v>0.06</v>
      </c>
      <c r="C25" s="3">
        <v>0.27</v>
      </c>
      <c r="D25" s="19">
        <v>1.93</v>
      </c>
      <c r="E25" s="3">
        <v>0.61</v>
      </c>
      <c r="F25" s="3">
        <v>0.56000000000000005</v>
      </c>
      <c r="G25" s="3">
        <v>0.59</v>
      </c>
      <c r="H25" s="3">
        <v>5.8666669999999999E-3</v>
      </c>
      <c r="I25" s="3">
        <v>4.9800000000000004</v>
      </c>
      <c r="J25" s="3">
        <v>4.92</v>
      </c>
      <c r="K25" s="3">
        <v>5.81</v>
      </c>
      <c r="L25" s="3">
        <v>5.2366666999999999E-2</v>
      </c>
      <c r="M25" s="3">
        <v>4.92</v>
      </c>
      <c r="N25" s="3">
        <v>4.7699999999999996</v>
      </c>
      <c r="O25" s="3">
        <v>4.1900000000000004</v>
      </c>
      <c r="P25" s="3">
        <v>4.6266666999999997E-2</v>
      </c>
      <c r="Q25" s="3">
        <v>4.32</v>
      </c>
      <c r="R25" s="3">
        <v>4.21</v>
      </c>
      <c r="S25" s="3">
        <v>4.24</v>
      </c>
      <c r="T25" s="3">
        <v>4.2566667000000002E-2</v>
      </c>
      <c r="U25" s="3">
        <v>4.41</v>
      </c>
      <c r="V25" s="3">
        <v>4.2699999999999996</v>
      </c>
      <c r="W25" s="3">
        <v>4.3</v>
      </c>
      <c r="X25" s="14">
        <v>4.3266667000000002E-2</v>
      </c>
      <c r="Y25" s="15">
        <v>5.9012880000000002E-3</v>
      </c>
      <c r="Z25" s="5">
        <v>5.5260472999999997E-2</v>
      </c>
      <c r="AA25" s="5">
        <v>4.8511114000000001E-2</v>
      </c>
      <c r="AB25" s="5">
        <v>4.4459143999999999E-2</v>
      </c>
      <c r="AC25" s="5">
        <v>4.5223329E-2</v>
      </c>
    </row>
    <row r="26" spans="1:29" x14ac:dyDescent="0.35">
      <c r="A26" s="3">
        <v>0.65</v>
      </c>
      <c r="B26" s="3">
        <v>0.05</v>
      </c>
      <c r="C26" s="3">
        <v>0.16</v>
      </c>
      <c r="D26" s="19">
        <v>2.04</v>
      </c>
      <c r="E26" s="3">
        <v>4.68</v>
      </c>
      <c r="F26" s="3">
        <v>4.8099999999999996</v>
      </c>
      <c r="G26" s="3">
        <v>5.3</v>
      </c>
      <c r="H26" s="3">
        <v>4.9299999999999997E-2</v>
      </c>
      <c r="I26" s="3">
        <v>2.33</v>
      </c>
      <c r="J26" s="3">
        <v>2.29</v>
      </c>
      <c r="K26" s="3">
        <v>2.23</v>
      </c>
      <c r="L26" s="3">
        <v>2.2833333000000001E-2</v>
      </c>
      <c r="M26" s="3">
        <v>2.74</v>
      </c>
      <c r="N26" s="3">
        <v>2.19</v>
      </c>
      <c r="O26" s="3">
        <v>2.2400000000000002</v>
      </c>
      <c r="P26" s="3">
        <v>2.3900000000000001E-2</v>
      </c>
      <c r="Q26" s="3">
        <v>2.23</v>
      </c>
      <c r="R26" s="3">
        <v>2.2000000000000002</v>
      </c>
      <c r="S26" s="3">
        <v>2.15</v>
      </c>
      <c r="T26" s="3">
        <v>2.1933332999999999E-2</v>
      </c>
      <c r="U26" s="3">
        <v>2.13</v>
      </c>
      <c r="V26" s="3">
        <v>2.13</v>
      </c>
      <c r="W26" s="3">
        <v>2.12</v>
      </c>
      <c r="X26" s="14">
        <v>2.1266667E-2</v>
      </c>
      <c r="Y26" s="15">
        <v>5.1856526999999999E-2</v>
      </c>
      <c r="Z26" s="5">
        <v>2.3366877000000001E-2</v>
      </c>
      <c r="AA26" s="5">
        <v>2.4485196000000001E-2</v>
      </c>
      <c r="AB26" s="5">
        <v>2.2425193E-2</v>
      </c>
      <c r="AC26" s="5">
        <v>2.1728765000000001E-2</v>
      </c>
    </row>
    <row r="27" spans="1:29" x14ac:dyDescent="0.35">
      <c r="A27" s="3">
        <v>0.52</v>
      </c>
      <c r="B27" s="3">
        <v>0.18</v>
      </c>
      <c r="C27" s="3">
        <v>0.24</v>
      </c>
      <c r="D27" s="19">
        <v>1.96</v>
      </c>
      <c r="E27" s="3">
        <v>2.2999999999999998</v>
      </c>
      <c r="F27" s="3">
        <v>2.11</v>
      </c>
      <c r="G27" s="3">
        <v>2.89</v>
      </c>
      <c r="H27" s="3">
        <v>2.4333332999999999E-2</v>
      </c>
      <c r="I27" s="3">
        <v>1.74</v>
      </c>
      <c r="J27" s="3">
        <v>1.67</v>
      </c>
      <c r="K27" s="3">
        <v>1.63</v>
      </c>
      <c r="L27" s="3">
        <v>1.6799999999999999E-2</v>
      </c>
      <c r="M27" s="3">
        <v>1.74</v>
      </c>
      <c r="N27" s="3">
        <v>1.69</v>
      </c>
      <c r="O27" s="3">
        <v>2.4500000000000002</v>
      </c>
      <c r="P27" s="3">
        <v>1.9599999999999999E-2</v>
      </c>
      <c r="Q27" s="3">
        <v>1.72</v>
      </c>
      <c r="R27" s="3">
        <v>1.76</v>
      </c>
      <c r="S27" s="3">
        <v>1.76</v>
      </c>
      <c r="T27" s="3">
        <v>1.7466667000000002E-2</v>
      </c>
      <c r="U27" s="3">
        <v>1.66</v>
      </c>
      <c r="V27" s="3">
        <v>1.81</v>
      </c>
      <c r="W27" s="3">
        <v>1.62</v>
      </c>
      <c r="X27" s="14">
        <v>1.6966667000000001E-2</v>
      </c>
      <c r="Y27" s="15">
        <v>2.4940212E-2</v>
      </c>
      <c r="Z27" s="5">
        <v>1.7087063E-2</v>
      </c>
      <c r="AA27" s="5">
        <v>1.999184E-2</v>
      </c>
      <c r="AB27" s="5">
        <v>1.7777174999999999E-2</v>
      </c>
      <c r="AC27" s="5">
        <v>1.7259502999999999E-2</v>
      </c>
    </row>
    <row r="28" spans="1:29" x14ac:dyDescent="0.35">
      <c r="A28" s="3">
        <v>0.55000000000000004</v>
      </c>
      <c r="B28" s="3">
        <v>0.15</v>
      </c>
      <c r="C28" s="3">
        <v>0.13</v>
      </c>
      <c r="D28" s="19">
        <v>2.0699999999999998</v>
      </c>
      <c r="E28" s="3">
        <v>1.24</v>
      </c>
      <c r="F28" s="3">
        <v>1.22</v>
      </c>
      <c r="G28" s="3">
        <v>1.21</v>
      </c>
      <c r="H28" s="3">
        <v>1.2233333000000001E-2</v>
      </c>
      <c r="I28" s="3">
        <v>0.57999999999999996</v>
      </c>
      <c r="J28" s="3">
        <v>0.62</v>
      </c>
      <c r="K28" s="3">
        <v>0.6</v>
      </c>
      <c r="L28" s="3">
        <v>6.0000000000000001E-3</v>
      </c>
      <c r="M28" s="3"/>
      <c r="N28" s="3">
        <v>0.57999999999999996</v>
      </c>
      <c r="O28" s="3">
        <v>0.53</v>
      </c>
      <c r="P28" s="3">
        <v>5.5500000000000002E-3</v>
      </c>
      <c r="Q28" s="3">
        <v>0.56999999999999995</v>
      </c>
      <c r="R28" s="3">
        <v>1.22</v>
      </c>
      <c r="S28" s="3">
        <v>0.57999999999999996</v>
      </c>
      <c r="T28" s="3">
        <v>7.9000000000000008E-3</v>
      </c>
      <c r="U28" s="3">
        <v>0.54</v>
      </c>
      <c r="V28" s="3">
        <v>0.5</v>
      </c>
      <c r="W28" s="3">
        <v>0.74</v>
      </c>
      <c r="X28" s="14">
        <v>5.9333329999999998E-3</v>
      </c>
      <c r="Y28" s="15">
        <v>1.2384841000000001E-2</v>
      </c>
      <c r="Z28" s="5">
        <v>6.036217E-3</v>
      </c>
      <c r="AA28" s="5">
        <v>5.5809739999999998E-3</v>
      </c>
      <c r="AB28" s="5">
        <v>7.962907E-3</v>
      </c>
      <c r="AC28" s="5">
        <v>5.9687480000000003E-3</v>
      </c>
    </row>
    <row r="29" spans="1:29" x14ac:dyDescent="0.35">
      <c r="A29" s="3">
        <v>0.52</v>
      </c>
      <c r="B29" s="3">
        <v>0.18</v>
      </c>
      <c r="C29" s="3">
        <v>0.28000000000000003</v>
      </c>
      <c r="D29" s="19">
        <v>1.92</v>
      </c>
      <c r="E29" s="3">
        <v>0.54</v>
      </c>
      <c r="F29" s="3">
        <v>0.54</v>
      </c>
      <c r="G29" s="3">
        <v>0.52</v>
      </c>
      <c r="H29" s="3">
        <v>5.333333E-3</v>
      </c>
      <c r="I29" s="3">
        <v>1.57</v>
      </c>
      <c r="J29" s="3">
        <v>1.51</v>
      </c>
      <c r="K29" s="3">
        <v>1.57</v>
      </c>
      <c r="L29" s="3">
        <v>1.55E-2</v>
      </c>
      <c r="M29" s="3">
        <v>2.6</v>
      </c>
      <c r="N29" s="3">
        <v>3.65</v>
      </c>
      <c r="O29" s="3">
        <v>1.53</v>
      </c>
      <c r="P29" s="3">
        <v>2.5933332999999999E-2</v>
      </c>
      <c r="Q29" s="3">
        <v>1.84</v>
      </c>
      <c r="R29" s="3">
        <v>1.96</v>
      </c>
      <c r="S29" s="3">
        <v>1.7</v>
      </c>
      <c r="T29" s="3">
        <v>1.8333333E-2</v>
      </c>
      <c r="U29" s="3">
        <v>1.27</v>
      </c>
      <c r="V29" s="3">
        <v>1.47</v>
      </c>
      <c r="W29" s="3">
        <v>1.39</v>
      </c>
      <c r="X29" s="14">
        <v>1.3766667E-2</v>
      </c>
      <c r="Y29" s="15">
        <v>5.36193E-3</v>
      </c>
      <c r="Z29" s="5">
        <v>1.5744033000000001E-2</v>
      </c>
      <c r="AA29" s="5">
        <v>2.6623777000000001E-2</v>
      </c>
      <c r="AB29" s="5">
        <v>1.8675721999999999E-2</v>
      </c>
      <c r="AC29" s="5">
        <v>1.3958833E-2</v>
      </c>
    </row>
    <row r="30" spans="1:29" x14ac:dyDescent="0.35">
      <c r="A30" s="3">
        <v>0.63</v>
      </c>
      <c r="B30" s="3">
        <v>7.0000000000000007E-2</v>
      </c>
      <c r="C30" s="3">
        <v>0.21</v>
      </c>
      <c r="D30" s="19">
        <v>1.99</v>
      </c>
      <c r="E30" s="3">
        <v>1.82</v>
      </c>
      <c r="F30" s="3">
        <v>1.71</v>
      </c>
      <c r="G30" s="3">
        <v>1.72</v>
      </c>
      <c r="H30" s="3">
        <v>1.7500000000000002E-2</v>
      </c>
      <c r="I30" s="3">
        <v>2.99</v>
      </c>
      <c r="J30" s="3">
        <v>3.07</v>
      </c>
      <c r="K30" s="3">
        <v>2.78</v>
      </c>
      <c r="L30" s="3">
        <v>2.9466666999999998E-2</v>
      </c>
      <c r="M30" s="3">
        <v>2.78</v>
      </c>
      <c r="N30" s="3">
        <v>3.49</v>
      </c>
      <c r="O30" s="3">
        <v>4.6399999999999997</v>
      </c>
      <c r="P30" s="3">
        <v>3.6366666999999998E-2</v>
      </c>
      <c r="Q30" s="3">
        <v>2.82</v>
      </c>
      <c r="R30" s="3">
        <v>2.78</v>
      </c>
      <c r="S30" s="3">
        <v>2.75</v>
      </c>
      <c r="T30" s="3">
        <v>2.7833332999999998E-2</v>
      </c>
      <c r="U30" s="3">
        <v>2.56</v>
      </c>
      <c r="V30" s="3">
        <v>2.72</v>
      </c>
      <c r="W30" s="3">
        <v>4.62</v>
      </c>
      <c r="X30" s="14">
        <v>3.3000000000000002E-2</v>
      </c>
      <c r="Y30" s="15">
        <v>1.7811705000000001E-2</v>
      </c>
      <c r="Z30" s="5">
        <v>3.0361313000000001E-2</v>
      </c>
      <c r="AA30" s="5">
        <v>3.7739111999999998E-2</v>
      </c>
      <c r="AB30" s="5">
        <v>2.8630207000000001E-2</v>
      </c>
      <c r="AC30" s="5">
        <v>3.4126163000000001E-2</v>
      </c>
    </row>
    <row r="31" spans="1:29" x14ac:dyDescent="0.35">
      <c r="A31" s="13">
        <v>0.56999999999999995</v>
      </c>
      <c r="B31" s="3">
        <v>0.13</v>
      </c>
      <c r="C31" s="3">
        <v>0.27</v>
      </c>
      <c r="D31" s="19">
        <v>1.93</v>
      </c>
      <c r="E31" s="3">
        <v>2.65</v>
      </c>
      <c r="F31" s="3">
        <v>2.67</v>
      </c>
      <c r="G31" s="3">
        <v>2.5299999999999998</v>
      </c>
      <c r="H31" s="3">
        <v>2.6166667000000001E-2</v>
      </c>
      <c r="I31" s="3">
        <v>2.12</v>
      </c>
      <c r="J31" s="3">
        <v>1.97</v>
      </c>
      <c r="K31" s="3">
        <v>3.75</v>
      </c>
      <c r="L31" s="3">
        <v>2.6133333000000002E-2</v>
      </c>
      <c r="M31" s="3">
        <v>4.49</v>
      </c>
      <c r="N31" s="3">
        <v>2.09</v>
      </c>
      <c r="O31" s="3">
        <v>1.92</v>
      </c>
      <c r="P31" s="3">
        <v>2.8333332999999999E-2</v>
      </c>
      <c r="Q31" s="3">
        <v>2.17</v>
      </c>
      <c r="R31" s="3">
        <v>2.25</v>
      </c>
      <c r="S31" s="3">
        <v>1.77</v>
      </c>
      <c r="T31" s="3">
        <v>2.0633333E-2</v>
      </c>
      <c r="U31" s="3">
        <v>1.8</v>
      </c>
      <c r="V31" s="3">
        <v>1.64</v>
      </c>
      <c r="W31" s="3">
        <v>1.77</v>
      </c>
      <c r="X31" s="14">
        <v>1.7366666999999999E-2</v>
      </c>
      <c r="Y31" s="15">
        <v>2.6869759E-2</v>
      </c>
      <c r="Z31" s="5">
        <v>2.6834611000000001E-2</v>
      </c>
      <c r="AA31" s="5">
        <v>2.9159520000000001E-2</v>
      </c>
      <c r="AB31" s="5">
        <v>2.1068037000000001E-2</v>
      </c>
      <c r="AC31" s="5">
        <v>1.7673597999999999E-2</v>
      </c>
    </row>
    <row r="32" spans="1:29" x14ac:dyDescent="0.35">
      <c r="A32" s="13">
        <v>0.63</v>
      </c>
      <c r="B32" s="3">
        <v>7.0000000000000007E-2</v>
      </c>
      <c r="C32" s="3">
        <v>0.2</v>
      </c>
      <c r="D32" s="19">
        <v>2</v>
      </c>
      <c r="E32" s="3">
        <v>1.83</v>
      </c>
      <c r="F32" s="3">
        <v>1.81</v>
      </c>
      <c r="G32" s="3">
        <v>1.81</v>
      </c>
      <c r="H32" s="3">
        <v>1.8166667000000001E-2</v>
      </c>
      <c r="I32" s="3">
        <v>2.2799999999999998</v>
      </c>
      <c r="J32" s="3">
        <v>2.19</v>
      </c>
      <c r="K32" s="3">
        <v>2.2200000000000002</v>
      </c>
      <c r="L32" s="3">
        <v>2.23E-2</v>
      </c>
      <c r="M32" s="3">
        <v>3.2</v>
      </c>
      <c r="N32" s="3">
        <v>4.45</v>
      </c>
      <c r="O32" s="3">
        <v>2.87</v>
      </c>
      <c r="P32" s="3">
        <v>3.5066667000000003E-2</v>
      </c>
      <c r="Q32" s="3">
        <v>2.78</v>
      </c>
      <c r="R32" s="3">
        <v>2.19</v>
      </c>
      <c r="S32" s="3">
        <v>2.46</v>
      </c>
      <c r="T32" s="3">
        <v>2.4766666999999999E-2</v>
      </c>
      <c r="U32" s="3">
        <v>2.4700000000000002</v>
      </c>
      <c r="V32" s="3">
        <v>2.11</v>
      </c>
      <c r="W32" s="3">
        <v>2.14</v>
      </c>
      <c r="X32" s="14">
        <v>2.24E-2</v>
      </c>
      <c r="Y32" s="15">
        <v>1.8502800999999999E-2</v>
      </c>
      <c r="Z32" s="5">
        <v>2.2808632999999998E-2</v>
      </c>
      <c r="AA32" s="5">
        <v>3.6341024999999999E-2</v>
      </c>
      <c r="AB32" s="5">
        <v>2.5395632000000001E-2</v>
      </c>
      <c r="AC32" s="5">
        <v>2.2913256999999999E-2</v>
      </c>
    </row>
  </sheetData>
  <mergeCells count="15">
    <mergeCell ref="P1:P2"/>
    <mergeCell ref="Q1:S1"/>
    <mergeCell ref="T1:T2"/>
    <mergeCell ref="U1:W1"/>
    <mergeCell ref="X1:X2"/>
    <mergeCell ref="E1:G1"/>
    <mergeCell ref="H1:H2"/>
    <mergeCell ref="I1:K1"/>
    <mergeCell ref="L1:L2"/>
    <mergeCell ref="M1:O1"/>
    <mergeCell ref="AB1:AB2"/>
    <mergeCell ref="AC1:AC2"/>
    <mergeCell ref="Y1:Y2"/>
    <mergeCell ref="Z1:Z2"/>
    <mergeCell ref="AA1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4060-1B4A-4F09-A641-1FC1B30597DF}">
  <dimension ref="A1:M32"/>
  <sheetViews>
    <sheetView workbookViewId="0">
      <selection activeCell="L15" sqref="L1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21</v>
      </c>
      <c r="F1" s="20" t="s">
        <v>22</v>
      </c>
    </row>
    <row r="2" spans="1:6" x14ac:dyDescent="0.35">
      <c r="A2" s="4"/>
      <c r="B2" s="4"/>
      <c r="C2" s="4"/>
      <c r="D2" s="4"/>
      <c r="E2" s="3"/>
      <c r="F2" s="5"/>
    </row>
    <row r="3" spans="1:6" x14ac:dyDescent="0.35">
      <c r="A3" s="3">
        <v>0.6</v>
      </c>
      <c r="B3" s="3">
        <v>0.1</v>
      </c>
      <c r="C3" s="3">
        <v>0.18</v>
      </c>
      <c r="D3" s="3">
        <v>2.02</v>
      </c>
      <c r="E3" s="3">
        <v>6.3444390000000003E-4</v>
      </c>
      <c r="F3" s="5">
        <v>6.3484700000000002E-4</v>
      </c>
    </row>
    <row r="4" spans="1:6" x14ac:dyDescent="0.35">
      <c r="A4" s="3">
        <v>0.62</v>
      </c>
      <c r="B4" s="3">
        <v>0.08</v>
      </c>
      <c r="C4" s="3">
        <v>0.3</v>
      </c>
      <c r="D4" s="3">
        <v>1.9</v>
      </c>
      <c r="E4" s="3">
        <v>5.0386219999999995E-4</v>
      </c>
      <c r="F4" s="5">
        <v>5.0411599999999998E-4</v>
      </c>
    </row>
    <row r="5" spans="1:6" x14ac:dyDescent="0.35">
      <c r="A5" s="3">
        <v>0.53</v>
      </c>
      <c r="B5" s="3">
        <v>0.17</v>
      </c>
      <c r="C5" s="3">
        <v>0.28000000000000003</v>
      </c>
      <c r="D5" s="3">
        <v>1.92</v>
      </c>
      <c r="E5" s="3">
        <v>1.0214454999999999E-3</v>
      </c>
      <c r="F5" s="5">
        <v>1.02249E-3</v>
      </c>
    </row>
    <row r="6" spans="1:6" x14ac:dyDescent="0.35">
      <c r="A6" s="3">
        <v>0.63</v>
      </c>
      <c r="B6" s="3">
        <v>7.0000000000000007E-2</v>
      </c>
      <c r="C6" s="3">
        <v>0.11</v>
      </c>
      <c r="D6" s="3">
        <v>2.09</v>
      </c>
      <c r="E6" s="3">
        <v>4.0342749999999999E-4</v>
      </c>
      <c r="F6" s="5">
        <v>4.0359E-4</v>
      </c>
    </row>
    <row r="7" spans="1:6" x14ac:dyDescent="0.35">
      <c r="A7" s="3">
        <v>0.57999999999999996</v>
      </c>
      <c r="B7" s="3">
        <v>0.12</v>
      </c>
      <c r="C7" s="3">
        <v>0.24</v>
      </c>
      <c r="D7" s="3">
        <v>1.96</v>
      </c>
      <c r="E7" s="3">
        <v>7.3318109999999999E-4</v>
      </c>
      <c r="F7" s="5">
        <v>7.3371899999999997E-4</v>
      </c>
    </row>
    <row r="8" spans="1:6" x14ac:dyDescent="0.35">
      <c r="A8" s="3">
        <v>0.51</v>
      </c>
      <c r="B8" s="3">
        <v>0.19</v>
      </c>
      <c r="C8" s="3">
        <v>0.12</v>
      </c>
      <c r="D8" s="3">
        <v>2.08</v>
      </c>
      <c r="E8" s="3">
        <v>1.187528E-3</v>
      </c>
      <c r="F8" s="5">
        <v>1.1889400000000001E-3</v>
      </c>
    </row>
    <row r="9" spans="1:6" x14ac:dyDescent="0.35">
      <c r="A9" s="3">
        <v>0.55000000000000004</v>
      </c>
      <c r="B9" s="3">
        <v>0.15</v>
      </c>
      <c r="C9" s="3">
        <v>0.17</v>
      </c>
      <c r="D9" s="3">
        <v>2.0299999999999998</v>
      </c>
      <c r="E9" s="3">
        <v>9.0097929999999999E-4</v>
      </c>
      <c r="F9" s="5">
        <v>9.01792E-4</v>
      </c>
    </row>
    <row r="10" spans="1:6" x14ac:dyDescent="0.35">
      <c r="A10" s="3">
        <v>0.5</v>
      </c>
      <c r="B10" s="3">
        <v>0.2</v>
      </c>
      <c r="C10" s="3">
        <v>0.2</v>
      </c>
      <c r="D10" s="3">
        <v>2</v>
      </c>
      <c r="E10" s="3">
        <v>1.2288665000000001E-3</v>
      </c>
      <c r="F10" s="5">
        <v>1.230379E-3</v>
      </c>
    </row>
    <row r="11" spans="1:6" x14ac:dyDescent="0.35">
      <c r="A11" s="3">
        <v>0.55000000000000004</v>
      </c>
      <c r="B11" s="3">
        <v>0.15</v>
      </c>
      <c r="C11" s="3">
        <v>0.15</v>
      </c>
      <c r="D11" s="3">
        <v>2.0499999999999998</v>
      </c>
      <c r="E11" s="3">
        <v>9.0772620000000004E-4</v>
      </c>
      <c r="F11" s="5">
        <v>9.0855099999999995E-4</v>
      </c>
    </row>
    <row r="12" spans="1:6" x14ac:dyDescent="0.35">
      <c r="A12" s="3">
        <v>0.67</v>
      </c>
      <c r="B12" s="3">
        <v>0.03</v>
      </c>
      <c r="C12" s="3">
        <v>0.22</v>
      </c>
      <c r="D12" s="3">
        <v>1.98</v>
      </c>
      <c r="E12" s="3">
        <v>1.7925689999999999E-4</v>
      </c>
      <c r="F12" s="5">
        <v>1.7928900000000001E-4</v>
      </c>
    </row>
    <row r="13" spans="1:6" x14ac:dyDescent="0.35">
      <c r="A13" s="3">
        <v>0.6</v>
      </c>
      <c r="B13" s="3">
        <v>0.1</v>
      </c>
      <c r="C13" s="3">
        <v>0.28999999999999998</v>
      </c>
      <c r="D13" s="3">
        <v>1.91</v>
      </c>
      <c r="E13" s="3">
        <v>5.9228310000000001E-4</v>
      </c>
      <c r="F13" s="5">
        <v>5.9263399999999998E-4</v>
      </c>
    </row>
    <row r="14" spans="1:6" x14ac:dyDescent="0.35">
      <c r="A14" s="3">
        <v>0.7</v>
      </c>
      <c r="B14" s="3">
        <v>0</v>
      </c>
      <c r="C14" s="3">
        <v>0.19</v>
      </c>
      <c r="D14" s="3">
        <v>2.0099999999999998</v>
      </c>
      <c r="E14" s="3">
        <v>9.55E-6</v>
      </c>
      <c r="F14" s="21">
        <v>9.5501300000000007E-6</v>
      </c>
    </row>
    <row r="15" spans="1:6" x14ac:dyDescent="0.35">
      <c r="A15" s="3">
        <v>0.69</v>
      </c>
      <c r="B15" s="3">
        <v>0.01</v>
      </c>
      <c r="C15" s="3">
        <v>0.15</v>
      </c>
      <c r="D15" s="3">
        <v>2.0499999999999998</v>
      </c>
      <c r="E15" s="3">
        <v>6.1860700000000002E-5</v>
      </c>
      <c r="F15" s="21">
        <v>6.1864499999999997E-5</v>
      </c>
    </row>
    <row r="16" spans="1:6" x14ac:dyDescent="0.35">
      <c r="A16" s="3">
        <v>0.7</v>
      </c>
      <c r="B16" s="3">
        <v>0</v>
      </c>
      <c r="C16" s="3">
        <v>0.19</v>
      </c>
      <c r="D16" s="3">
        <v>2.0099999999999998</v>
      </c>
      <c r="E16" s="3">
        <v>9.55E-6</v>
      </c>
      <c r="F16" s="21">
        <v>9.5501300000000007E-6</v>
      </c>
    </row>
    <row r="17" spans="1:13" x14ac:dyDescent="0.35">
      <c r="A17" s="3">
        <v>0.57999999999999996</v>
      </c>
      <c r="B17" s="3">
        <v>0.12</v>
      </c>
      <c r="C17" s="3">
        <v>0.12</v>
      </c>
      <c r="D17" s="3">
        <v>2.08</v>
      </c>
      <c r="E17" s="3">
        <v>7.4821410000000001E-4</v>
      </c>
      <c r="F17" s="5">
        <v>7.4877400000000001E-4</v>
      </c>
    </row>
    <row r="18" spans="1:13" x14ac:dyDescent="0.35">
      <c r="A18" s="3">
        <v>0.67</v>
      </c>
      <c r="B18" s="3">
        <v>0.03</v>
      </c>
      <c r="C18" s="3">
        <v>0.11</v>
      </c>
      <c r="D18" s="3">
        <v>2.09</v>
      </c>
      <c r="E18" s="3">
        <v>2.0846180000000001E-4</v>
      </c>
      <c r="F18" s="5">
        <v>2.08505E-4</v>
      </c>
    </row>
    <row r="19" spans="1:13" x14ac:dyDescent="0.35">
      <c r="A19" s="3">
        <v>0.61</v>
      </c>
      <c r="B19" s="3">
        <v>0.09</v>
      </c>
      <c r="C19" s="3">
        <v>0.18</v>
      </c>
      <c r="D19" s="3">
        <v>2.02</v>
      </c>
      <c r="E19" s="3">
        <v>5.7244920000000001E-4</v>
      </c>
      <c r="F19" s="5">
        <v>5.7277700000000001E-4</v>
      </c>
    </row>
    <row r="20" spans="1:13" x14ac:dyDescent="0.35">
      <c r="A20" s="3">
        <v>0.65</v>
      </c>
      <c r="B20" s="3">
        <v>0.05</v>
      </c>
      <c r="C20" s="3">
        <v>0.23</v>
      </c>
      <c r="D20" s="3">
        <v>1.97</v>
      </c>
      <c r="E20" s="3">
        <v>2.925173E-4</v>
      </c>
      <c r="F20" s="5">
        <v>2.92603E-4</v>
      </c>
      <c r="H20" s="3"/>
      <c r="I20" s="3"/>
      <c r="J20" s="3"/>
      <c r="K20" s="3"/>
      <c r="L20" s="3"/>
      <c r="M20" s="3"/>
    </row>
    <row r="21" spans="1:13" x14ac:dyDescent="0.35">
      <c r="A21" s="3">
        <v>0.68</v>
      </c>
      <c r="B21" s="3">
        <v>0.02</v>
      </c>
      <c r="C21" s="3">
        <v>0.22</v>
      </c>
      <c r="D21" s="3">
        <v>1.98</v>
      </c>
      <c r="E21" s="3">
        <v>1.1687090000000001E-4</v>
      </c>
      <c r="F21" s="5">
        <v>1.16885E-4</v>
      </c>
      <c r="H21" s="3"/>
      <c r="I21" s="3"/>
      <c r="J21" s="3"/>
      <c r="K21" s="3"/>
      <c r="L21" s="3"/>
      <c r="M21" s="3"/>
    </row>
    <row r="22" spans="1:13" x14ac:dyDescent="0.35">
      <c r="A22" s="3">
        <v>0.56000000000000005</v>
      </c>
      <c r="B22" s="3">
        <v>0.14000000000000001</v>
      </c>
      <c r="C22" s="3">
        <v>0.25</v>
      </c>
      <c r="D22" s="3">
        <v>1.95</v>
      </c>
      <c r="E22" s="3">
        <v>8.5677560000000004E-4</v>
      </c>
      <c r="F22" s="5">
        <v>8.5751000000000002E-4</v>
      </c>
      <c r="H22" s="3"/>
      <c r="I22" s="3"/>
      <c r="J22" s="3"/>
      <c r="K22" s="3"/>
      <c r="L22" s="3"/>
      <c r="M22" s="3"/>
    </row>
    <row r="23" spans="1:13" x14ac:dyDescent="0.35">
      <c r="A23" s="3">
        <v>0.59</v>
      </c>
      <c r="B23" s="3">
        <v>0.11</v>
      </c>
      <c r="C23" s="3">
        <v>0.26</v>
      </c>
      <c r="D23" s="3">
        <v>1.94</v>
      </c>
      <c r="E23" s="3">
        <v>6.7855460000000004E-4</v>
      </c>
      <c r="F23" s="5">
        <v>6.7901500000000004E-4</v>
      </c>
      <c r="H23" s="3"/>
      <c r="I23" s="3"/>
      <c r="J23" s="3"/>
      <c r="K23" s="3"/>
      <c r="L23" s="3"/>
      <c r="M23" s="3"/>
    </row>
    <row r="24" spans="1:13" x14ac:dyDescent="0.35">
      <c r="A24" s="3">
        <v>0.53</v>
      </c>
      <c r="B24" s="3">
        <v>0.17</v>
      </c>
      <c r="C24" s="3">
        <v>0.14000000000000001</v>
      </c>
      <c r="D24" s="3">
        <v>2.06</v>
      </c>
      <c r="E24" s="3">
        <v>1.0569689E-3</v>
      </c>
      <c r="F24" s="5">
        <v>1.0580870000000001E-3</v>
      </c>
      <c r="H24" s="3"/>
      <c r="I24" s="3"/>
      <c r="J24" s="3"/>
      <c r="K24" s="3"/>
      <c r="L24" s="3"/>
      <c r="M24" s="3"/>
    </row>
    <row r="25" spans="1:13" x14ac:dyDescent="0.35">
      <c r="A25" s="3">
        <v>0.64</v>
      </c>
      <c r="B25" s="3">
        <v>0.06</v>
      </c>
      <c r="C25" s="3">
        <v>0.27</v>
      </c>
      <c r="D25" s="3">
        <v>1.93</v>
      </c>
      <c r="E25" s="3">
        <v>3.5257129999999998E-4</v>
      </c>
      <c r="F25" s="5">
        <v>3.52696E-4</v>
      </c>
      <c r="H25" s="3"/>
      <c r="I25" s="3"/>
      <c r="J25" s="3"/>
      <c r="K25" s="3"/>
      <c r="L25" s="3"/>
      <c r="M25" s="3"/>
    </row>
    <row r="26" spans="1:13" x14ac:dyDescent="0.35">
      <c r="A26" s="3">
        <v>0.65</v>
      </c>
      <c r="B26" s="3">
        <v>0.05</v>
      </c>
      <c r="C26" s="3">
        <v>0.16</v>
      </c>
      <c r="D26" s="3">
        <v>2.04</v>
      </c>
      <c r="E26" s="3">
        <v>2.8235069999999997E-4</v>
      </c>
      <c r="F26" s="5">
        <v>2.8243000000000002E-4</v>
      </c>
      <c r="H26" s="3"/>
      <c r="I26" s="3"/>
      <c r="J26" s="3"/>
      <c r="K26" s="3"/>
      <c r="L26" s="3"/>
      <c r="M26" s="3"/>
    </row>
    <row r="27" spans="1:13" x14ac:dyDescent="0.35">
      <c r="A27" s="3">
        <v>0.52</v>
      </c>
      <c r="B27" s="3">
        <v>0.18</v>
      </c>
      <c r="C27" s="3">
        <v>0.24</v>
      </c>
      <c r="D27" s="3">
        <v>1.96</v>
      </c>
      <c r="E27" s="3">
        <v>1.1207948000000001E-3</v>
      </c>
      <c r="F27" s="5">
        <v>1.1220519999999999E-3</v>
      </c>
      <c r="H27" s="3"/>
      <c r="I27" s="3"/>
      <c r="J27" s="3"/>
      <c r="K27" s="3"/>
      <c r="L27" s="3"/>
      <c r="M27" s="3"/>
    </row>
    <row r="28" spans="1:13" x14ac:dyDescent="0.35">
      <c r="A28" s="3">
        <v>0.55000000000000004</v>
      </c>
      <c r="B28" s="3">
        <v>0.15</v>
      </c>
      <c r="C28" s="3">
        <v>0.13</v>
      </c>
      <c r="D28" s="3">
        <v>2.0699999999999998</v>
      </c>
      <c r="E28" s="3">
        <v>9.5112120000000004E-4</v>
      </c>
      <c r="F28" s="5">
        <v>9.5202700000000004E-4</v>
      </c>
      <c r="H28" s="3"/>
      <c r="I28" s="3"/>
      <c r="J28" s="3"/>
      <c r="K28" s="3"/>
      <c r="L28" s="3"/>
      <c r="M28" s="3"/>
    </row>
    <row r="29" spans="1:13" x14ac:dyDescent="0.35">
      <c r="A29" s="3">
        <v>0.52</v>
      </c>
      <c r="B29" s="3">
        <v>0.18</v>
      </c>
      <c r="C29" s="3">
        <v>0.28000000000000003</v>
      </c>
      <c r="D29" s="3">
        <v>1.92</v>
      </c>
      <c r="E29" s="3">
        <v>1.0949677000000001E-3</v>
      </c>
      <c r="F29" s="5">
        <v>1.096168E-3</v>
      </c>
      <c r="H29" s="3"/>
      <c r="I29" s="3"/>
      <c r="J29" s="3"/>
      <c r="K29" s="3"/>
      <c r="L29" s="3"/>
      <c r="M29" s="3"/>
    </row>
    <row r="30" spans="1:13" x14ac:dyDescent="0.35">
      <c r="A30" s="3">
        <v>0.63</v>
      </c>
      <c r="B30" s="3">
        <v>7.0000000000000007E-2</v>
      </c>
      <c r="C30" s="3">
        <v>0.21</v>
      </c>
      <c r="D30" s="3">
        <v>1.99</v>
      </c>
      <c r="E30" s="3">
        <v>4.56639E-4</v>
      </c>
      <c r="F30" s="5">
        <v>4.5684799999999999E-4</v>
      </c>
      <c r="H30" s="3"/>
      <c r="I30" s="3"/>
      <c r="J30" s="3"/>
      <c r="K30" s="3"/>
      <c r="L30" s="3"/>
      <c r="M30" s="3"/>
    </row>
    <row r="31" spans="1:13" x14ac:dyDescent="0.35">
      <c r="A31" s="3">
        <v>0.56999999999999995</v>
      </c>
      <c r="B31" s="3">
        <v>0.13</v>
      </c>
      <c r="C31" s="3">
        <v>0.27</v>
      </c>
      <c r="D31" s="3">
        <v>1.93</v>
      </c>
      <c r="E31" s="3">
        <v>7.9210990000000002E-4</v>
      </c>
      <c r="F31" s="5">
        <v>7.9273799999999997E-4</v>
      </c>
      <c r="H31" s="3"/>
      <c r="I31" s="3"/>
      <c r="J31" s="3"/>
      <c r="K31" s="3"/>
      <c r="L31" s="3"/>
      <c r="M31" s="3"/>
    </row>
    <row r="32" spans="1:13" x14ac:dyDescent="0.35">
      <c r="A32" s="3">
        <v>0.63</v>
      </c>
      <c r="B32" s="3">
        <v>7.0000000000000007E-2</v>
      </c>
      <c r="C32" s="3">
        <v>0.2</v>
      </c>
      <c r="D32" s="3">
        <v>2</v>
      </c>
      <c r="E32" s="3">
        <v>4.4300760000000002E-4</v>
      </c>
      <c r="F32" s="5">
        <v>4.4320399999999999E-4</v>
      </c>
      <c r="H32" s="3"/>
      <c r="I32" s="3"/>
      <c r="J32" s="3"/>
      <c r="K32" s="3"/>
      <c r="L32" s="3"/>
      <c r="M3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B8F4-52ED-402B-91E1-BD0201034A82}">
  <dimension ref="A1:Q37"/>
  <sheetViews>
    <sheetView zoomScaleNormal="100" workbookViewId="0">
      <selection activeCell="L10" sqref="L10"/>
    </sheetView>
  </sheetViews>
  <sheetFormatPr defaultRowHeight="14.5" x14ac:dyDescent="0.35"/>
  <sheetData>
    <row r="1" spans="1:17" ht="29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2" t="s">
        <v>4</v>
      </c>
      <c r="F1" s="32" t="s">
        <v>5</v>
      </c>
      <c r="G1" s="38" t="s">
        <v>6</v>
      </c>
      <c r="H1" s="38" t="s">
        <v>6</v>
      </c>
      <c r="I1" s="34" t="s">
        <v>7</v>
      </c>
      <c r="J1" s="3"/>
      <c r="K1" s="3"/>
      <c r="L1" s="3"/>
      <c r="M1" s="3"/>
      <c r="N1" s="3"/>
      <c r="O1" s="3"/>
      <c r="P1" s="3"/>
      <c r="Q1" s="3"/>
    </row>
    <row r="2" spans="1:17" x14ac:dyDescent="0.35">
      <c r="A2" s="4"/>
      <c r="B2" s="4"/>
      <c r="C2" s="4"/>
      <c r="D2" s="4"/>
      <c r="E2" s="32"/>
      <c r="F2" s="32"/>
      <c r="G2" s="38"/>
      <c r="H2" s="38"/>
      <c r="I2" s="34"/>
      <c r="J2" s="3"/>
      <c r="K2" s="3"/>
      <c r="L2" s="3"/>
      <c r="M2" s="3"/>
      <c r="N2" s="3"/>
      <c r="O2" s="3"/>
      <c r="P2" s="3"/>
      <c r="Q2" s="3"/>
    </row>
    <row r="3" spans="1:17" x14ac:dyDescent="0.35">
      <c r="A3" s="3">
        <v>0.6</v>
      </c>
      <c r="B3" s="3">
        <v>0.1</v>
      </c>
      <c r="C3" s="3">
        <v>0.18</v>
      </c>
      <c r="D3" s="3">
        <v>2.02</v>
      </c>
      <c r="E3" s="3">
        <v>6.9</v>
      </c>
      <c r="F3" s="3">
        <v>7.02</v>
      </c>
      <c r="G3" s="3">
        <f>AVERAGE(E3:F3)</f>
        <v>6.96</v>
      </c>
      <c r="H3" s="3">
        <f>AVERAGE(E3:F3)/100</f>
        <v>6.9599999999999995E-2</v>
      </c>
      <c r="I3" s="5">
        <f>H3/(1-H3)</f>
        <v>7.480653482373173E-2</v>
      </c>
      <c r="J3" s="3"/>
      <c r="K3" s="3"/>
      <c r="L3" s="3"/>
      <c r="M3" s="3"/>
      <c r="N3" s="3"/>
      <c r="O3" s="3"/>
      <c r="P3" s="3"/>
      <c r="Q3" s="3"/>
    </row>
    <row r="4" spans="1:17" x14ac:dyDescent="0.35">
      <c r="A4" s="3">
        <v>0.62</v>
      </c>
      <c r="B4" s="3">
        <v>0.08</v>
      </c>
      <c r="C4" s="3">
        <v>0.3</v>
      </c>
      <c r="D4" s="3">
        <v>1.9</v>
      </c>
      <c r="E4" s="3">
        <v>11.92</v>
      </c>
      <c r="F4" s="3">
        <v>12.25</v>
      </c>
      <c r="G4" s="3">
        <f t="shared" ref="G4:G32" si="0">AVERAGE(E4:F4)</f>
        <v>12.085000000000001</v>
      </c>
      <c r="H4" s="3">
        <f t="shared" ref="H4:H32" si="1">AVERAGE(E4:F4)/100</f>
        <v>0.12085000000000001</v>
      </c>
      <c r="I4" s="5">
        <f t="shared" ref="I4:I32" si="2">H4/(1-H4)</f>
        <v>0.13746232156059832</v>
      </c>
      <c r="J4" s="3"/>
      <c r="K4" s="3"/>
      <c r="L4" s="3"/>
      <c r="M4" s="3"/>
      <c r="N4" s="3"/>
      <c r="O4" s="3"/>
      <c r="P4" s="3"/>
      <c r="Q4" s="3"/>
    </row>
    <row r="5" spans="1:17" x14ac:dyDescent="0.35">
      <c r="A5" s="3">
        <v>0.53</v>
      </c>
      <c r="B5" s="3">
        <v>0.17</v>
      </c>
      <c r="C5" s="3">
        <v>0.28000000000000003</v>
      </c>
      <c r="D5" s="3">
        <v>1.92</v>
      </c>
      <c r="E5" s="3">
        <v>10.83</v>
      </c>
      <c r="F5" s="3">
        <v>10.87</v>
      </c>
      <c r="G5" s="3">
        <f t="shared" si="0"/>
        <v>10.85</v>
      </c>
      <c r="H5" s="3">
        <f t="shared" si="1"/>
        <v>0.1085</v>
      </c>
      <c r="I5" s="5">
        <f t="shared" si="2"/>
        <v>0.12170499158721257</v>
      </c>
      <c r="J5" s="3"/>
      <c r="K5" s="3"/>
      <c r="L5" s="3"/>
      <c r="M5" s="3"/>
      <c r="N5" s="3"/>
      <c r="O5" s="3"/>
      <c r="P5" s="3"/>
      <c r="Q5" s="3"/>
    </row>
    <row r="6" spans="1:17" x14ac:dyDescent="0.35">
      <c r="A6" s="3">
        <v>0.63</v>
      </c>
      <c r="B6" s="3">
        <v>7.0000000000000007E-2</v>
      </c>
      <c r="C6" s="3">
        <v>0.11</v>
      </c>
      <c r="D6" s="3">
        <v>2.09</v>
      </c>
      <c r="E6" s="3">
        <v>5.1100000000000003</v>
      </c>
      <c r="F6" s="3">
        <v>6.53</v>
      </c>
      <c r="G6" s="3">
        <f t="shared" si="0"/>
        <v>5.82</v>
      </c>
      <c r="H6" s="3">
        <f t="shared" si="1"/>
        <v>5.8200000000000002E-2</v>
      </c>
      <c r="I6" s="5">
        <f t="shared" si="2"/>
        <v>6.1796559779146318E-2</v>
      </c>
      <c r="J6" s="3"/>
      <c r="K6" s="3"/>
      <c r="L6" s="3"/>
      <c r="M6" s="3"/>
      <c r="N6" s="3"/>
      <c r="O6" s="3"/>
      <c r="P6" s="3"/>
      <c r="Q6" s="3"/>
    </row>
    <row r="7" spans="1:17" x14ac:dyDescent="0.35">
      <c r="A7" s="3">
        <v>0.57999999999999996</v>
      </c>
      <c r="B7" s="3">
        <v>0.12</v>
      </c>
      <c r="C7" s="3">
        <v>0.24</v>
      </c>
      <c r="D7" s="3">
        <v>1.96</v>
      </c>
      <c r="E7" s="3">
        <v>9.6</v>
      </c>
      <c r="F7" s="3">
        <v>9.3699999999999992</v>
      </c>
      <c r="G7" s="3">
        <f t="shared" si="0"/>
        <v>9.4849999999999994</v>
      </c>
      <c r="H7" s="3">
        <f t="shared" si="1"/>
        <v>9.484999999999999E-2</v>
      </c>
      <c r="I7" s="5">
        <f t="shared" si="2"/>
        <v>0.1047892614483787</v>
      </c>
      <c r="J7" s="3"/>
      <c r="K7" s="3"/>
      <c r="L7" s="3"/>
      <c r="M7" s="3"/>
      <c r="N7" s="3"/>
      <c r="O7" s="3"/>
      <c r="P7" s="3"/>
      <c r="Q7" s="3"/>
    </row>
    <row r="8" spans="1:17" x14ac:dyDescent="0.35">
      <c r="A8" s="3">
        <v>0.51</v>
      </c>
      <c r="B8" s="3">
        <v>0.19</v>
      </c>
      <c r="C8" s="3">
        <v>0.12</v>
      </c>
      <c r="D8" s="3">
        <v>2.08</v>
      </c>
      <c r="E8" s="3">
        <v>3.33</v>
      </c>
      <c r="F8" s="3">
        <v>3.32</v>
      </c>
      <c r="G8" s="3">
        <f t="shared" si="0"/>
        <v>3.3250000000000002</v>
      </c>
      <c r="H8" s="3">
        <f t="shared" si="1"/>
        <v>3.3250000000000002E-2</v>
      </c>
      <c r="I8" s="5">
        <f t="shared" si="2"/>
        <v>3.439358675976209E-2</v>
      </c>
      <c r="J8" s="3"/>
      <c r="K8" s="3"/>
      <c r="L8" s="3"/>
      <c r="M8" s="3"/>
      <c r="N8" s="3"/>
      <c r="O8" s="3"/>
      <c r="P8" s="3"/>
      <c r="Q8" s="3"/>
    </row>
    <row r="9" spans="1:17" x14ac:dyDescent="0.35">
      <c r="A9" s="3">
        <v>0.55000000000000004</v>
      </c>
      <c r="B9" s="3">
        <v>0.15</v>
      </c>
      <c r="C9" s="3">
        <v>0.17</v>
      </c>
      <c r="D9" s="3">
        <v>2.0299999999999998</v>
      </c>
      <c r="E9" s="3">
        <v>6.93</v>
      </c>
      <c r="F9" s="3">
        <v>6.9</v>
      </c>
      <c r="G9" s="3">
        <f t="shared" si="0"/>
        <v>6.915</v>
      </c>
      <c r="H9" s="3">
        <f t="shared" si="1"/>
        <v>6.9150000000000003E-2</v>
      </c>
      <c r="I9" s="5">
        <f t="shared" si="2"/>
        <v>7.4286942042219486E-2</v>
      </c>
      <c r="J9" s="3"/>
      <c r="K9" s="3"/>
      <c r="L9" s="3"/>
      <c r="M9" s="3"/>
      <c r="N9" s="3"/>
      <c r="O9" s="3"/>
      <c r="P9" s="3"/>
      <c r="Q9" s="3"/>
    </row>
    <row r="10" spans="1:17" x14ac:dyDescent="0.35">
      <c r="A10" s="3">
        <v>0.5</v>
      </c>
      <c r="B10" s="3">
        <v>0.2</v>
      </c>
      <c r="C10" s="3">
        <v>0.2</v>
      </c>
      <c r="D10" s="3">
        <v>2</v>
      </c>
      <c r="E10" s="3">
        <v>8.84</v>
      </c>
      <c r="F10" s="3">
        <v>7.77</v>
      </c>
      <c r="G10" s="3">
        <f t="shared" si="0"/>
        <v>8.3049999999999997</v>
      </c>
      <c r="H10" s="3">
        <f t="shared" si="1"/>
        <v>8.3049999999999999E-2</v>
      </c>
      <c r="I10" s="5">
        <f t="shared" si="2"/>
        <v>9.0572005016631221E-2</v>
      </c>
      <c r="J10" s="3"/>
      <c r="K10" s="3"/>
      <c r="L10" s="3"/>
      <c r="M10" s="3"/>
      <c r="N10" s="3"/>
      <c r="O10" s="3"/>
      <c r="P10" s="3"/>
      <c r="Q10" s="3"/>
    </row>
    <row r="11" spans="1:17" x14ac:dyDescent="0.35">
      <c r="A11" s="3">
        <v>0.55000000000000004</v>
      </c>
      <c r="B11" s="3">
        <v>0.15</v>
      </c>
      <c r="C11" s="3">
        <v>0.15</v>
      </c>
      <c r="D11" s="3">
        <v>2.0499999999999998</v>
      </c>
      <c r="E11" s="3">
        <v>6.59</v>
      </c>
      <c r="F11" s="3">
        <v>5.91</v>
      </c>
      <c r="G11" s="3">
        <f t="shared" si="0"/>
        <v>6.25</v>
      </c>
      <c r="H11" s="3">
        <f t="shared" si="1"/>
        <v>6.25E-2</v>
      </c>
      <c r="I11" s="5">
        <f t="shared" si="2"/>
        <v>6.6666666666666666E-2</v>
      </c>
      <c r="J11" s="3"/>
      <c r="K11" s="3"/>
      <c r="L11" s="3"/>
      <c r="M11" s="3"/>
      <c r="N11" s="3"/>
      <c r="O11" s="3"/>
      <c r="P11" s="3"/>
      <c r="Q11" s="3"/>
    </row>
    <row r="12" spans="1:17" x14ac:dyDescent="0.35">
      <c r="A12" s="3">
        <v>0.67</v>
      </c>
      <c r="B12" s="3">
        <v>0.03</v>
      </c>
      <c r="C12" s="3">
        <v>0.22</v>
      </c>
      <c r="D12" s="3">
        <v>1.98</v>
      </c>
      <c r="E12" s="3">
        <v>9.24</v>
      </c>
      <c r="F12" s="3">
        <v>9.14</v>
      </c>
      <c r="G12" s="3">
        <f t="shared" si="0"/>
        <v>9.1900000000000013</v>
      </c>
      <c r="H12" s="3">
        <f t="shared" si="1"/>
        <v>9.1900000000000009E-2</v>
      </c>
      <c r="I12" s="5">
        <f t="shared" si="2"/>
        <v>0.10120030833608634</v>
      </c>
      <c r="J12" s="3"/>
      <c r="K12" s="3"/>
      <c r="L12" s="3"/>
      <c r="M12" s="3"/>
      <c r="N12" s="3"/>
      <c r="O12" s="3"/>
      <c r="P12" s="3"/>
      <c r="Q12" s="3"/>
    </row>
    <row r="13" spans="1:17" x14ac:dyDescent="0.35">
      <c r="A13" s="3">
        <v>0.6</v>
      </c>
      <c r="B13" s="3">
        <v>0.1</v>
      </c>
      <c r="C13" s="3">
        <v>0.28999999999999998</v>
      </c>
      <c r="D13" s="3">
        <v>1.91</v>
      </c>
      <c r="E13" s="3">
        <v>11.41</v>
      </c>
      <c r="F13" s="3">
        <v>11.3</v>
      </c>
      <c r="G13" s="3">
        <f t="shared" si="0"/>
        <v>11.355</v>
      </c>
      <c r="H13" s="3">
        <f t="shared" si="1"/>
        <v>0.11355</v>
      </c>
      <c r="I13" s="5">
        <f t="shared" si="2"/>
        <v>0.12809521123582832</v>
      </c>
      <c r="J13" s="3"/>
      <c r="K13" s="3"/>
      <c r="L13" s="3"/>
      <c r="M13" s="3"/>
      <c r="N13" s="3"/>
      <c r="O13" s="3"/>
      <c r="P13" s="3"/>
      <c r="Q13" s="3"/>
    </row>
    <row r="14" spans="1:17" x14ac:dyDescent="0.35">
      <c r="A14" s="3">
        <v>0.68</v>
      </c>
      <c r="B14" s="3">
        <v>0.02</v>
      </c>
      <c r="C14" s="3">
        <v>0.15</v>
      </c>
      <c r="D14" s="3">
        <v>2.0499999999999998</v>
      </c>
      <c r="E14" s="3">
        <v>5.77</v>
      </c>
      <c r="F14" s="3">
        <v>5.74</v>
      </c>
      <c r="G14" s="3">
        <f t="shared" si="0"/>
        <v>5.7549999999999999</v>
      </c>
      <c r="H14" s="3">
        <f t="shared" si="1"/>
        <v>5.7549999999999997E-2</v>
      </c>
      <c r="I14" s="5">
        <f t="shared" si="2"/>
        <v>6.1064247440182497E-2</v>
      </c>
      <c r="J14" s="3"/>
      <c r="K14" s="3"/>
      <c r="L14" s="3"/>
      <c r="M14" s="3"/>
      <c r="N14" s="3"/>
      <c r="O14" s="3"/>
      <c r="P14" s="3"/>
      <c r="Q14" s="3"/>
    </row>
    <row r="15" spans="1:17" x14ac:dyDescent="0.35">
      <c r="A15" s="3">
        <v>0.7</v>
      </c>
      <c r="B15" s="3">
        <v>0</v>
      </c>
      <c r="C15" s="3">
        <v>0.19</v>
      </c>
      <c r="D15" s="3">
        <v>2.0099999999999998</v>
      </c>
      <c r="E15" s="3">
        <v>7.73</v>
      </c>
      <c r="F15" s="3">
        <v>8.27</v>
      </c>
      <c r="G15" s="3">
        <f t="shared" si="0"/>
        <v>8</v>
      </c>
      <c r="H15" s="3">
        <f t="shared" si="1"/>
        <v>0.08</v>
      </c>
      <c r="I15" s="5">
        <f t="shared" si="2"/>
        <v>8.6956521739130432E-2</v>
      </c>
      <c r="J15" s="3"/>
      <c r="K15" s="3"/>
      <c r="L15" s="3"/>
      <c r="M15" s="3"/>
      <c r="N15" s="3"/>
      <c r="O15" s="3"/>
      <c r="P15" s="3"/>
      <c r="Q15" s="3"/>
    </row>
    <row r="16" spans="1:17" x14ac:dyDescent="0.35">
      <c r="A16" s="3">
        <v>0.69</v>
      </c>
      <c r="B16" s="3">
        <v>0.01</v>
      </c>
      <c r="C16" s="3">
        <v>0.15</v>
      </c>
      <c r="D16" s="3">
        <v>2.0499999999999998</v>
      </c>
      <c r="E16" s="3">
        <v>6.4</v>
      </c>
      <c r="F16" s="3">
        <v>5.73</v>
      </c>
      <c r="G16" s="3">
        <f t="shared" si="0"/>
        <v>6.0650000000000004</v>
      </c>
      <c r="H16" s="3">
        <f t="shared" si="1"/>
        <v>6.0650000000000003E-2</v>
      </c>
      <c r="I16" s="5">
        <f t="shared" si="2"/>
        <v>6.456592324479693E-2</v>
      </c>
      <c r="J16" s="3"/>
      <c r="K16" s="3"/>
      <c r="L16" s="3"/>
      <c r="M16" s="3"/>
      <c r="N16" s="3"/>
      <c r="O16" s="3"/>
      <c r="P16" s="3"/>
      <c r="Q16" s="3"/>
    </row>
    <row r="17" spans="1:17" x14ac:dyDescent="0.35">
      <c r="A17" s="3">
        <v>0.57999999999999996</v>
      </c>
      <c r="B17" s="3">
        <v>0.12</v>
      </c>
      <c r="C17" s="3">
        <v>0.12</v>
      </c>
      <c r="D17" s="3">
        <v>2.08</v>
      </c>
      <c r="E17" s="3">
        <v>5.18</v>
      </c>
      <c r="F17" s="3">
        <v>4.74</v>
      </c>
      <c r="G17" s="3">
        <f t="shared" si="0"/>
        <v>4.96</v>
      </c>
      <c r="H17" s="3">
        <f t="shared" si="1"/>
        <v>4.9599999999999998E-2</v>
      </c>
      <c r="I17" s="5">
        <f t="shared" si="2"/>
        <v>5.2188552188552187E-2</v>
      </c>
      <c r="J17" s="3"/>
      <c r="K17" s="3"/>
      <c r="L17" s="3"/>
      <c r="M17" s="3"/>
      <c r="N17" s="3"/>
      <c r="O17" s="3"/>
      <c r="P17" s="3"/>
      <c r="Q17" s="3"/>
    </row>
    <row r="18" spans="1:17" x14ac:dyDescent="0.35">
      <c r="A18" s="3">
        <v>0.67</v>
      </c>
      <c r="B18" s="3">
        <v>0.03</v>
      </c>
      <c r="C18" s="3">
        <v>0.11</v>
      </c>
      <c r="D18" s="3">
        <v>2.09</v>
      </c>
      <c r="E18" s="3">
        <v>4.1100000000000003</v>
      </c>
      <c r="F18" s="3">
        <v>4.28</v>
      </c>
      <c r="G18" s="3">
        <f t="shared" si="0"/>
        <v>4.1950000000000003</v>
      </c>
      <c r="H18" s="3">
        <f t="shared" si="1"/>
        <v>4.1950000000000001E-2</v>
      </c>
      <c r="I18" s="5">
        <f t="shared" si="2"/>
        <v>4.3786858723448674E-2</v>
      </c>
      <c r="J18" s="3"/>
      <c r="K18" s="3"/>
      <c r="L18" s="3"/>
      <c r="M18" s="3"/>
      <c r="N18" s="3"/>
      <c r="O18" s="3"/>
      <c r="P18" s="3"/>
      <c r="Q18" s="3"/>
    </row>
    <row r="19" spans="1:17" x14ac:dyDescent="0.35">
      <c r="A19" s="3">
        <v>0.61</v>
      </c>
      <c r="B19" s="3">
        <v>0.09</v>
      </c>
      <c r="C19" s="3">
        <v>0.18</v>
      </c>
      <c r="D19" s="3">
        <v>2.02</v>
      </c>
      <c r="E19" s="3">
        <v>7.04</v>
      </c>
      <c r="F19" s="3">
        <v>6.85</v>
      </c>
      <c r="G19" s="3">
        <f t="shared" si="0"/>
        <v>6.9450000000000003</v>
      </c>
      <c r="H19" s="3">
        <f t="shared" si="1"/>
        <v>6.9449999999999998E-2</v>
      </c>
      <c r="I19" s="5">
        <f t="shared" si="2"/>
        <v>7.4633281392724737E-2</v>
      </c>
      <c r="J19" s="3"/>
      <c r="K19" s="3"/>
      <c r="L19" s="3"/>
      <c r="M19" s="3"/>
      <c r="N19" s="3"/>
      <c r="O19" s="3"/>
      <c r="P19" s="3"/>
      <c r="Q19" s="3"/>
    </row>
    <row r="20" spans="1:17" x14ac:dyDescent="0.35">
      <c r="A20" s="3">
        <v>0.65</v>
      </c>
      <c r="B20" s="3">
        <v>0.05</v>
      </c>
      <c r="C20" s="3">
        <v>0.23</v>
      </c>
      <c r="D20" s="3">
        <v>1.97</v>
      </c>
      <c r="E20" s="3">
        <v>8.8699999999999992</v>
      </c>
      <c r="F20" s="3">
        <v>8.7899999999999991</v>
      </c>
      <c r="G20" s="3">
        <f t="shared" si="0"/>
        <v>8.8299999999999983</v>
      </c>
      <c r="H20" s="3">
        <f t="shared" si="1"/>
        <v>8.829999999999999E-2</v>
      </c>
      <c r="I20" s="5">
        <f t="shared" si="2"/>
        <v>9.6852034660524292E-2</v>
      </c>
      <c r="J20" s="3"/>
      <c r="K20" s="3"/>
      <c r="L20" s="3"/>
      <c r="M20" s="3"/>
      <c r="N20" s="3"/>
      <c r="O20" s="3"/>
      <c r="P20" s="3"/>
      <c r="Q20" s="3"/>
    </row>
    <row r="21" spans="1:17" x14ac:dyDescent="0.35">
      <c r="A21" s="3">
        <v>0.68</v>
      </c>
      <c r="B21" s="3">
        <v>0.02</v>
      </c>
      <c r="C21" s="3">
        <v>0.22</v>
      </c>
      <c r="D21" s="3">
        <v>1.98</v>
      </c>
      <c r="E21" s="3">
        <v>8.91</v>
      </c>
      <c r="F21" s="3">
        <v>8.6</v>
      </c>
      <c r="G21" s="3">
        <f t="shared" si="0"/>
        <v>8.754999999999999</v>
      </c>
      <c r="H21" s="3">
        <f t="shared" si="1"/>
        <v>8.7549999999999989E-2</v>
      </c>
      <c r="I21" s="5">
        <f t="shared" si="2"/>
        <v>9.5950463039070621E-2</v>
      </c>
      <c r="J21" s="3"/>
      <c r="K21" s="3"/>
      <c r="L21" s="3"/>
      <c r="M21" s="3"/>
      <c r="N21" s="3"/>
      <c r="O21" s="3"/>
      <c r="P21" s="3"/>
      <c r="Q21" s="3"/>
    </row>
    <row r="22" spans="1:17" x14ac:dyDescent="0.35">
      <c r="A22" s="3">
        <v>0.56000000000000005</v>
      </c>
      <c r="B22" s="3">
        <v>0.14000000000000001</v>
      </c>
      <c r="C22" s="3">
        <v>0.25</v>
      </c>
      <c r="D22" s="3">
        <v>1.95</v>
      </c>
      <c r="E22" s="3">
        <v>9.59</v>
      </c>
      <c r="F22" s="3">
        <v>9.2899999999999991</v>
      </c>
      <c r="G22" s="3">
        <f t="shared" si="0"/>
        <v>9.44</v>
      </c>
      <c r="H22" s="3">
        <f t="shared" si="1"/>
        <v>9.4399999999999998E-2</v>
      </c>
      <c r="I22" s="5">
        <f t="shared" si="2"/>
        <v>0.10424028268551237</v>
      </c>
      <c r="J22" s="3"/>
      <c r="K22" s="3"/>
      <c r="L22" s="3"/>
      <c r="M22" s="3"/>
      <c r="N22" s="3"/>
      <c r="O22" s="3"/>
      <c r="P22" s="3"/>
      <c r="Q22" s="3"/>
    </row>
    <row r="23" spans="1:17" x14ac:dyDescent="0.35">
      <c r="A23" s="3">
        <v>0.59</v>
      </c>
      <c r="B23" s="3">
        <v>0.11</v>
      </c>
      <c r="C23" s="3">
        <v>0.26</v>
      </c>
      <c r="D23" s="3">
        <v>1.94</v>
      </c>
      <c r="E23" s="3">
        <v>10.83</v>
      </c>
      <c r="F23" s="3">
        <v>9.83</v>
      </c>
      <c r="G23" s="3">
        <f t="shared" si="0"/>
        <v>10.33</v>
      </c>
      <c r="H23" s="3">
        <f t="shared" si="1"/>
        <v>0.1033</v>
      </c>
      <c r="I23" s="5">
        <f t="shared" si="2"/>
        <v>0.11520017843202855</v>
      </c>
      <c r="J23" s="3"/>
      <c r="K23" s="3"/>
      <c r="L23" s="3"/>
      <c r="M23" s="3"/>
      <c r="N23" s="3"/>
      <c r="O23" s="3"/>
      <c r="P23" s="3"/>
      <c r="Q23" s="3"/>
    </row>
    <row r="24" spans="1:17" x14ac:dyDescent="0.35">
      <c r="A24" s="3">
        <v>0.53</v>
      </c>
      <c r="B24" s="3">
        <v>0.17</v>
      </c>
      <c r="C24" s="3">
        <v>0.14000000000000001</v>
      </c>
      <c r="D24" s="3">
        <v>2.06</v>
      </c>
      <c r="E24" s="3">
        <v>5.52</v>
      </c>
      <c r="F24" s="3">
        <v>5.3</v>
      </c>
      <c r="G24" s="3">
        <f t="shared" si="0"/>
        <v>5.41</v>
      </c>
      <c r="H24" s="3">
        <f t="shared" si="1"/>
        <v>5.4100000000000002E-2</v>
      </c>
      <c r="I24" s="5">
        <f t="shared" si="2"/>
        <v>5.7194206575747968E-2</v>
      </c>
      <c r="J24" s="3"/>
      <c r="K24" s="3"/>
      <c r="L24" s="3"/>
      <c r="M24" s="3"/>
      <c r="N24" s="3"/>
      <c r="O24" s="3"/>
      <c r="P24" s="3"/>
      <c r="Q24" s="3"/>
    </row>
    <row r="25" spans="1:17" x14ac:dyDescent="0.35">
      <c r="A25" s="3">
        <v>0.64</v>
      </c>
      <c r="B25" s="3">
        <v>0.06</v>
      </c>
      <c r="C25" s="3">
        <v>0.27</v>
      </c>
      <c r="D25" s="3">
        <v>1.93</v>
      </c>
      <c r="E25" s="3">
        <v>10.38</v>
      </c>
      <c r="F25" s="3">
        <v>9.77</v>
      </c>
      <c r="G25" s="3">
        <f t="shared" si="0"/>
        <v>10.074999999999999</v>
      </c>
      <c r="H25" s="3">
        <f t="shared" si="1"/>
        <v>0.10074999999999999</v>
      </c>
      <c r="I25" s="5">
        <f t="shared" si="2"/>
        <v>0.1120378092855157</v>
      </c>
      <c r="J25" s="3"/>
      <c r="K25" s="3"/>
      <c r="L25" s="3"/>
      <c r="M25" s="3"/>
      <c r="N25" s="3"/>
      <c r="O25" s="3"/>
      <c r="P25" s="3"/>
      <c r="Q25" s="3"/>
    </row>
    <row r="26" spans="1:17" x14ac:dyDescent="0.35">
      <c r="A26" s="3">
        <v>0.65</v>
      </c>
      <c r="B26" s="3">
        <v>0.05</v>
      </c>
      <c r="C26" s="3">
        <v>0.16</v>
      </c>
      <c r="D26" s="3">
        <v>2.04</v>
      </c>
      <c r="E26" s="3">
        <v>5.98</v>
      </c>
      <c r="F26" s="3">
        <v>5.86</v>
      </c>
      <c r="G26" s="3">
        <f t="shared" si="0"/>
        <v>5.92</v>
      </c>
      <c r="H26" s="3">
        <f t="shared" si="1"/>
        <v>5.9200000000000003E-2</v>
      </c>
      <c r="I26" s="5">
        <f t="shared" si="2"/>
        <v>6.2925170068027211E-2</v>
      </c>
      <c r="J26" s="3"/>
      <c r="K26" s="3"/>
      <c r="L26" s="3"/>
      <c r="M26" s="3"/>
      <c r="N26" s="3"/>
      <c r="O26" s="3"/>
      <c r="P26" s="3"/>
      <c r="Q26" s="3"/>
    </row>
    <row r="27" spans="1:17" x14ac:dyDescent="0.35">
      <c r="A27" s="3">
        <v>0.52</v>
      </c>
      <c r="B27" s="3">
        <v>0.18</v>
      </c>
      <c r="C27" s="3">
        <v>0.24</v>
      </c>
      <c r="D27" s="3">
        <v>1.96</v>
      </c>
      <c r="E27" s="3">
        <v>8.58</v>
      </c>
      <c r="F27" s="3">
        <v>8.43</v>
      </c>
      <c r="G27" s="3">
        <f t="shared" si="0"/>
        <v>8.504999999999999</v>
      </c>
      <c r="H27" s="3">
        <f t="shared" si="1"/>
        <v>8.5049999999999987E-2</v>
      </c>
      <c r="I27" s="5">
        <f t="shared" si="2"/>
        <v>9.2955899229466066E-2</v>
      </c>
      <c r="J27" s="3"/>
      <c r="K27" s="3"/>
      <c r="L27" s="3"/>
      <c r="M27" s="3"/>
      <c r="N27" s="3"/>
      <c r="O27" s="3"/>
      <c r="P27" s="3"/>
      <c r="Q27" s="3"/>
    </row>
    <row r="28" spans="1:17" x14ac:dyDescent="0.35">
      <c r="A28" s="3">
        <v>0.55000000000000004</v>
      </c>
      <c r="B28" s="3">
        <v>0.15</v>
      </c>
      <c r="C28" s="3">
        <v>0.13</v>
      </c>
      <c r="D28" s="3">
        <v>2.0699999999999998</v>
      </c>
      <c r="E28" s="3">
        <v>4.5999999999999996</v>
      </c>
      <c r="F28" s="3">
        <v>4.55</v>
      </c>
      <c r="G28" s="3">
        <f t="shared" si="0"/>
        <v>4.5749999999999993</v>
      </c>
      <c r="H28" s="3">
        <f t="shared" si="1"/>
        <v>4.5749999999999992E-2</v>
      </c>
      <c r="I28" s="5">
        <f t="shared" si="2"/>
        <v>4.7943411055802979E-2</v>
      </c>
      <c r="J28" s="3"/>
      <c r="K28" s="3"/>
      <c r="L28" s="3"/>
      <c r="M28" s="3"/>
      <c r="N28" s="3"/>
      <c r="O28" s="3"/>
      <c r="P28" s="3"/>
      <c r="Q28" s="3"/>
    </row>
    <row r="29" spans="1:17" x14ac:dyDescent="0.35">
      <c r="A29" s="3">
        <v>0.52</v>
      </c>
      <c r="B29" s="3">
        <v>0.18</v>
      </c>
      <c r="C29" s="3">
        <v>0.28000000000000003</v>
      </c>
      <c r="D29" s="3">
        <v>1.92</v>
      </c>
      <c r="E29" s="3">
        <v>10.59</v>
      </c>
      <c r="F29" s="3">
        <v>10.7</v>
      </c>
      <c r="G29" s="3">
        <f t="shared" si="0"/>
        <v>10.645</v>
      </c>
      <c r="H29" s="3">
        <f t="shared" si="1"/>
        <v>0.10644999999999999</v>
      </c>
      <c r="I29" s="5">
        <f t="shared" si="2"/>
        <v>0.11913155391416259</v>
      </c>
      <c r="J29" s="3"/>
      <c r="K29" s="3"/>
      <c r="L29" s="3"/>
      <c r="M29" s="3"/>
      <c r="N29" s="3"/>
      <c r="O29" s="3"/>
      <c r="P29" s="3"/>
      <c r="Q29" s="3"/>
    </row>
    <row r="30" spans="1:17" x14ac:dyDescent="0.35">
      <c r="A30" s="3">
        <v>0.63</v>
      </c>
      <c r="B30" s="3">
        <v>7.0000000000000007E-2</v>
      </c>
      <c r="C30" s="3">
        <v>0.21</v>
      </c>
      <c r="D30" s="3">
        <v>1.99</v>
      </c>
      <c r="E30" s="3">
        <v>8.02</v>
      </c>
      <c r="F30" s="3">
        <v>8.3000000000000007</v>
      </c>
      <c r="G30" s="3">
        <f t="shared" si="0"/>
        <v>8.16</v>
      </c>
      <c r="H30" s="3">
        <f t="shared" si="1"/>
        <v>8.1600000000000006E-2</v>
      </c>
      <c r="I30" s="5">
        <f t="shared" si="2"/>
        <v>8.885017421602788E-2</v>
      </c>
      <c r="J30" s="3"/>
      <c r="K30" s="3"/>
      <c r="L30" s="3"/>
      <c r="M30" s="3"/>
      <c r="N30" s="3"/>
      <c r="O30" s="3"/>
      <c r="P30" s="3"/>
      <c r="Q30" s="3"/>
    </row>
    <row r="31" spans="1:17" x14ac:dyDescent="0.35">
      <c r="A31" s="3">
        <v>0.56999999999999995</v>
      </c>
      <c r="B31" s="3">
        <v>0.13</v>
      </c>
      <c r="C31" s="3">
        <v>0.27</v>
      </c>
      <c r="D31" s="3">
        <v>1.93</v>
      </c>
      <c r="E31" s="3">
        <v>10.85</v>
      </c>
      <c r="F31" s="3">
        <v>11.34</v>
      </c>
      <c r="G31" s="3">
        <f t="shared" si="0"/>
        <v>11.094999999999999</v>
      </c>
      <c r="H31" s="3">
        <f t="shared" si="1"/>
        <v>0.11094999999999999</v>
      </c>
      <c r="I31" s="5">
        <f t="shared" si="2"/>
        <v>0.12479613070131038</v>
      </c>
      <c r="J31" s="3"/>
      <c r="K31" s="3"/>
      <c r="L31" s="3"/>
      <c r="M31" s="3"/>
      <c r="N31" s="3"/>
      <c r="O31" s="3"/>
      <c r="P31" s="3"/>
      <c r="Q31" s="3"/>
    </row>
    <row r="32" spans="1:17" x14ac:dyDescent="0.35">
      <c r="A32" s="3">
        <v>0.63</v>
      </c>
      <c r="B32" s="3">
        <v>7.0000000000000007E-2</v>
      </c>
      <c r="C32" s="3">
        <v>0.2</v>
      </c>
      <c r="D32" s="3">
        <v>2</v>
      </c>
      <c r="E32" s="3">
        <v>8.0299999999999994</v>
      </c>
      <c r="F32" s="3">
        <v>7.94</v>
      </c>
      <c r="G32" s="3">
        <f t="shared" si="0"/>
        <v>7.9849999999999994</v>
      </c>
      <c r="H32" s="3">
        <f t="shared" si="1"/>
        <v>7.984999999999999E-2</v>
      </c>
      <c r="I32" s="5">
        <f t="shared" si="2"/>
        <v>8.6779329457153706E-2</v>
      </c>
      <c r="J32" s="3"/>
      <c r="K32" s="3"/>
      <c r="L32" s="3"/>
      <c r="M32" s="3"/>
      <c r="N32" s="3"/>
      <c r="O32" s="3"/>
      <c r="P32" s="3"/>
      <c r="Q32" s="3"/>
    </row>
    <row r="33" spans="1:17" x14ac:dyDescent="0.35">
      <c r="A33" s="3"/>
      <c r="B33" s="3"/>
      <c r="C33" s="3"/>
      <c r="D33" s="3"/>
      <c r="E33" s="3"/>
      <c r="F33" s="3"/>
      <c r="G33" s="3"/>
      <c r="H33" s="3"/>
      <c r="I33" s="5"/>
      <c r="J33" s="3"/>
      <c r="K33" s="3"/>
      <c r="L33" s="3"/>
      <c r="M33" s="3"/>
      <c r="N33" s="3"/>
      <c r="O33" s="3"/>
      <c r="P33" s="3"/>
      <c r="Q33" s="3"/>
    </row>
    <row r="34" spans="1:17" x14ac:dyDescent="0.35">
      <c r="A34" s="3"/>
      <c r="B34" s="3"/>
      <c r="C34" s="3"/>
      <c r="D34" s="3"/>
      <c r="E34" s="3"/>
      <c r="F34" s="3"/>
      <c r="G34" s="3"/>
      <c r="H34" s="3"/>
      <c r="I34" s="5"/>
      <c r="J34" s="3"/>
      <c r="K34" s="3"/>
      <c r="L34" s="3"/>
      <c r="M34" s="3"/>
      <c r="N34" s="3"/>
      <c r="O34" s="3"/>
      <c r="P34" s="3"/>
    </row>
    <row r="35" spans="1:17" x14ac:dyDescent="0.35">
      <c r="A35" s="3"/>
      <c r="B35" s="3"/>
      <c r="C35" s="3"/>
      <c r="D35" s="3"/>
      <c r="J35" s="3"/>
      <c r="K35" s="3"/>
      <c r="L35" s="3"/>
      <c r="M35" s="3"/>
      <c r="N35" s="3"/>
      <c r="O35" s="3"/>
      <c r="P35" s="3"/>
    </row>
    <row r="36" spans="1:17" x14ac:dyDescent="0.35">
      <c r="A36" s="3"/>
      <c r="B36" s="3"/>
      <c r="C36" s="3"/>
      <c r="D36" s="3"/>
      <c r="J36" s="3"/>
      <c r="K36" s="3"/>
      <c r="L36" s="3"/>
      <c r="M36" s="3"/>
      <c r="N36" s="3"/>
      <c r="O36" s="3"/>
      <c r="P36" s="3"/>
    </row>
    <row r="37" spans="1:17" x14ac:dyDescent="0.35">
      <c r="A37" s="3"/>
      <c r="B37" s="3"/>
      <c r="C37" s="3"/>
      <c r="D37" s="3"/>
      <c r="J37" s="3"/>
      <c r="K37" s="3"/>
      <c r="L37" s="3"/>
      <c r="M37" s="3"/>
      <c r="N37" s="3"/>
      <c r="O37" s="3"/>
      <c r="P37" s="3"/>
    </row>
  </sheetData>
  <mergeCells count="5">
    <mergeCell ref="E1:E2"/>
    <mergeCell ref="F1:F2"/>
    <mergeCell ref="G1:G2"/>
    <mergeCell ref="H1:H2"/>
    <mergeCell ref="I1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7C0F36E545E459E5BC03829A5D52F" ma:contentTypeVersion="13" ma:contentTypeDescription="Create a new document." ma:contentTypeScope="" ma:versionID="c203da212a755635bbb5ea676b1b70a6">
  <xsd:schema xmlns:xsd="http://www.w3.org/2001/XMLSchema" xmlns:xs="http://www.w3.org/2001/XMLSchema" xmlns:p="http://schemas.microsoft.com/office/2006/metadata/properties" xmlns:ns3="805c23de-2899-4881-b459-1719a434ed60" xmlns:ns4="e6e30228-674c-412b-adbb-d3d05a49a8c1" targetNamespace="http://schemas.microsoft.com/office/2006/metadata/properties" ma:root="true" ma:fieldsID="e059272143da700a0adf33d3ec7b38ff" ns3:_="" ns4:_="">
    <xsd:import namespace="805c23de-2899-4881-b459-1719a434ed60"/>
    <xsd:import namespace="e6e30228-674c-412b-adbb-d3d05a49a8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c23de-2899-4881-b459-1719a434e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30228-674c-412b-adbb-d3d05a49a8c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5c23de-2899-4881-b459-1719a434ed60" xsi:nil="true"/>
  </documentManagement>
</p:properties>
</file>

<file path=customXml/itemProps1.xml><?xml version="1.0" encoding="utf-8"?>
<ds:datastoreItem xmlns:ds="http://schemas.openxmlformats.org/officeDocument/2006/customXml" ds:itemID="{D74B8DB7-151A-4C67-9C44-EE69BA604C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AD8FBA-9209-4DA5-90AA-70AA632B9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c23de-2899-4881-b459-1719a434ed60"/>
    <ds:schemaRef ds:uri="e6e30228-674c-412b-adbb-d3d05a49a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85402D-9FDA-441E-AEAE-3CB510534E90}">
  <ds:schemaRefs>
    <ds:schemaRef ds:uri="805c23de-2899-4881-b459-1719a434ed60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e6e30228-674c-412b-adbb-d3d05a49a8c1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NaOH Liquid Outlet</vt:lpstr>
      <vt:lpstr>CO2 Gas Outlet</vt:lpstr>
      <vt:lpstr>NaOH Liquid Inlet</vt:lpstr>
      <vt:lpstr>CO2 Gas Inlet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Ling, Felicia</dc:creator>
  <cp:lastModifiedBy>Tan Mei Ling, Felicia</cp:lastModifiedBy>
  <dcterms:created xsi:type="dcterms:W3CDTF">2026-04-05T04:04:49Z</dcterms:created>
  <dcterms:modified xsi:type="dcterms:W3CDTF">2026-04-05T15:58:48Z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0x0101003687C0F36E545E459E5BC03829A5D52F</vt:lpwstr>
  </property>
</Properties>
</file>